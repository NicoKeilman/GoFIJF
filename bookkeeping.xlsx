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NICOK\Juha\"/>
    </mc:Choice>
  </mc:AlternateContent>
  <bookViews>
    <workbookView xWindow="-120" yWindow="-120" windowWidth="38640" windowHeight="21240"/>
  </bookViews>
  <sheets>
    <sheet name="Personer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1" i="2" l="1"/>
  <c r="C220" i="2"/>
  <c r="C197" i="2"/>
  <c r="C196" i="2"/>
  <c r="C173" i="2"/>
  <c r="C172" i="2"/>
  <c r="C149" i="2"/>
  <c r="C148" i="2"/>
  <c r="C125" i="2"/>
  <c r="C124" i="2"/>
  <c r="C100" i="2"/>
  <c r="C99" i="2"/>
  <c r="CZ75" i="2"/>
  <c r="CY75" i="2"/>
  <c r="CX75" i="2"/>
  <c r="CW75" i="2"/>
  <c r="CV75" i="2"/>
  <c r="CU75" i="2"/>
  <c r="CT75" i="2"/>
  <c r="CS75" i="2"/>
  <c r="CR75" i="2"/>
  <c r="CQ75" i="2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Z74" i="2"/>
  <c r="CY74" i="2"/>
  <c r="CX74" i="2"/>
  <c r="CW74" i="2"/>
  <c r="CV74" i="2"/>
  <c r="CU74" i="2"/>
  <c r="CT74" i="2"/>
  <c r="CS74" i="2"/>
  <c r="CR74" i="2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5" i="2"/>
  <c r="C74" i="2"/>
  <c r="CZ147" i="2" l="1"/>
  <c r="CZ146" i="2"/>
  <c r="CZ145" i="2"/>
  <c r="CZ144" i="2"/>
  <c r="CZ143" i="2"/>
  <c r="CZ142" i="2"/>
  <c r="CZ141" i="2"/>
  <c r="CZ140" i="2"/>
  <c r="CZ139" i="2"/>
  <c r="CZ138" i="2"/>
  <c r="CZ137" i="2"/>
  <c r="CZ136" i="2"/>
  <c r="CZ135" i="2"/>
  <c r="CZ134" i="2"/>
  <c r="CZ133" i="2"/>
  <c r="CZ132" i="2"/>
  <c r="CZ131" i="2"/>
  <c r="CZ130" i="2"/>
  <c r="CZ129" i="2"/>
  <c r="CZ128" i="2"/>
  <c r="CZ100" i="2" l="1"/>
  <c r="CZ50" i="2"/>
  <c r="CY50" i="2"/>
  <c r="CX50" i="2"/>
  <c r="CW50" i="2"/>
  <c r="CV50" i="2"/>
  <c r="CU50" i="2"/>
  <c r="CT50" i="2"/>
  <c r="CS50" i="2"/>
  <c r="CR50" i="2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Z49" i="2"/>
  <c r="CY49" i="2"/>
  <c r="CX49" i="2"/>
  <c r="CW49" i="2"/>
  <c r="CV49" i="2"/>
  <c r="CU49" i="2"/>
  <c r="CT49" i="2"/>
  <c r="CS49" i="2"/>
  <c r="CR49" i="2"/>
  <c r="CQ49" i="2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50" i="2"/>
  <c r="C49" i="2"/>
  <c r="CY98" i="2" l="1"/>
  <c r="CX98" i="2"/>
  <c r="CW98" i="2"/>
  <c r="CV98" i="2"/>
  <c r="CU98" i="2"/>
  <c r="CT98" i="2"/>
  <c r="CS98" i="2"/>
  <c r="CR98" i="2"/>
  <c r="CQ98" i="2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CY97" i="2"/>
  <c r="CX97" i="2"/>
  <c r="CW97" i="2"/>
  <c r="CV97" i="2"/>
  <c r="CU97" i="2"/>
  <c r="CT97" i="2"/>
  <c r="CS97" i="2"/>
  <c r="CR97" i="2"/>
  <c r="CQ97" i="2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CY96" i="2"/>
  <c r="CX96" i="2"/>
  <c r="CW96" i="2"/>
  <c r="CV96" i="2"/>
  <c r="CU96" i="2"/>
  <c r="CT96" i="2"/>
  <c r="CS96" i="2"/>
  <c r="CR96" i="2"/>
  <c r="CQ96" i="2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CY95" i="2"/>
  <c r="CX95" i="2"/>
  <c r="CW95" i="2"/>
  <c r="CV95" i="2"/>
  <c r="CU95" i="2"/>
  <c r="CT95" i="2"/>
  <c r="CS95" i="2"/>
  <c r="CR95" i="2"/>
  <c r="CQ95" i="2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CY94" i="2"/>
  <c r="CX94" i="2"/>
  <c r="CW94" i="2"/>
  <c r="CV94" i="2"/>
  <c r="CU94" i="2"/>
  <c r="CT94" i="2"/>
  <c r="CS94" i="2"/>
  <c r="CR94" i="2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CY93" i="2"/>
  <c r="CX93" i="2"/>
  <c r="CW93" i="2"/>
  <c r="CV93" i="2"/>
  <c r="CU93" i="2"/>
  <c r="CT93" i="2"/>
  <c r="CS93" i="2"/>
  <c r="CR93" i="2"/>
  <c r="CQ93" i="2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CY92" i="2"/>
  <c r="CX92" i="2"/>
  <c r="CW92" i="2"/>
  <c r="CV92" i="2"/>
  <c r="CU92" i="2"/>
  <c r="CT92" i="2"/>
  <c r="CS92" i="2"/>
  <c r="CR92" i="2"/>
  <c r="CQ92" i="2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CY91" i="2"/>
  <c r="CX91" i="2"/>
  <c r="CW91" i="2"/>
  <c r="CV91" i="2"/>
  <c r="CU91" i="2"/>
  <c r="CT91" i="2"/>
  <c r="CS91" i="2"/>
  <c r="CR91" i="2"/>
  <c r="CQ91" i="2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CY90" i="2"/>
  <c r="CX90" i="2"/>
  <c r="CW90" i="2"/>
  <c r="CV90" i="2"/>
  <c r="CU90" i="2"/>
  <c r="CT90" i="2"/>
  <c r="CS90" i="2"/>
  <c r="CR90" i="2"/>
  <c r="CQ90" i="2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CY89" i="2"/>
  <c r="CX89" i="2"/>
  <c r="CW89" i="2"/>
  <c r="CV89" i="2"/>
  <c r="CU89" i="2"/>
  <c r="CT89" i="2"/>
  <c r="CS89" i="2"/>
  <c r="CR89" i="2"/>
  <c r="CQ89" i="2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CY88" i="2"/>
  <c r="CX88" i="2"/>
  <c r="CW88" i="2"/>
  <c r="CV88" i="2"/>
  <c r="CU88" i="2"/>
  <c r="CT88" i="2"/>
  <c r="CS88" i="2"/>
  <c r="CR88" i="2"/>
  <c r="CQ88" i="2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CY87" i="2"/>
  <c r="CX87" i="2"/>
  <c r="CW87" i="2"/>
  <c r="CV87" i="2"/>
  <c r="CU87" i="2"/>
  <c r="CT87" i="2"/>
  <c r="CS87" i="2"/>
  <c r="CR87" i="2"/>
  <c r="CQ87" i="2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CY86" i="2"/>
  <c r="CX86" i="2"/>
  <c r="CW86" i="2"/>
  <c r="CV86" i="2"/>
  <c r="CU86" i="2"/>
  <c r="CT86" i="2"/>
  <c r="CS86" i="2"/>
  <c r="CR86" i="2"/>
  <c r="CQ86" i="2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CY85" i="2"/>
  <c r="CX85" i="2"/>
  <c r="CW85" i="2"/>
  <c r="CV85" i="2"/>
  <c r="CU85" i="2"/>
  <c r="CT85" i="2"/>
  <c r="CS85" i="2"/>
  <c r="CR85" i="2"/>
  <c r="CQ85" i="2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CY84" i="2"/>
  <c r="CX84" i="2"/>
  <c r="CW84" i="2"/>
  <c r="CV84" i="2"/>
  <c r="CU84" i="2"/>
  <c r="CT84" i="2"/>
  <c r="CS84" i="2"/>
  <c r="CR84" i="2"/>
  <c r="CQ84" i="2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CY83" i="2"/>
  <c r="CX83" i="2"/>
  <c r="CW83" i="2"/>
  <c r="CV83" i="2"/>
  <c r="CU83" i="2"/>
  <c r="CT83" i="2"/>
  <c r="CS83" i="2"/>
  <c r="CR83" i="2"/>
  <c r="CQ83" i="2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CY82" i="2"/>
  <c r="CX82" i="2"/>
  <c r="CW82" i="2"/>
  <c r="CV82" i="2"/>
  <c r="CU82" i="2"/>
  <c r="CT82" i="2"/>
  <c r="CS82" i="2"/>
  <c r="CR82" i="2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R99" i="2" s="1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CY81" i="2"/>
  <c r="CX81" i="2"/>
  <c r="CW81" i="2"/>
  <c r="CV81" i="2"/>
  <c r="CU81" i="2"/>
  <c r="CT81" i="2"/>
  <c r="CS81" i="2"/>
  <c r="CR81" i="2"/>
  <c r="CQ81" i="2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Y80" i="2"/>
  <c r="CX80" i="2"/>
  <c r="CW80" i="2"/>
  <c r="CV80" i="2"/>
  <c r="CU80" i="2"/>
  <c r="CT80" i="2"/>
  <c r="CS80" i="2"/>
  <c r="CR80" i="2"/>
  <c r="CQ80" i="2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CY79" i="2"/>
  <c r="CX79" i="2"/>
  <c r="CW79" i="2"/>
  <c r="CV79" i="2"/>
  <c r="CU79" i="2"/>
  <c r="CT79" i="2"/>
  <c r="CS79" i="2"/>
  <c r="CR79" i="2"/>
  <c r="CQ79" i="2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V99" i="2" s="1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Z99" i="2" s="1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CT99" i="2"/>
  <c r="CD99" i="2"/>
  <c r="BN99" i="2"/>
  <c r="AX99" i="2"/>
  <c r="AH99" i="2"/>
  <c r="M152" i="2" l="1"/>
  <c r="M128" i="2"/>
  <c r="M100" i="2"/>
  <c r="U152" i="2"/>
  <c r="U128" i="2"/>
  <c r="U100" i="2"/>
  <c r="AG152" i="2"/>
  <c r="AG128" i="2"/>
  <c r="AG100" i="2"/>
  <c r="AW152" i="2"/>
  <c r="AW128" i="2"/>
  <c r="AW100" i="2"/>
  <c r="BI152" i="2"/>
  <c r="BI128" i="2"/>
  <c r="BI100" i="2"/>
  <c r="BY152" i="2"/>
  <c r="BY128" i="2"/>
  <c r="BY100" i="2"/>
  <c r="CK152" i="2"/>
  <c r="CK128" i="2"/>
  <c r="CK100" i="2"/>
  <c r="CS152" i="2"/>
  <c r="CS128" i="2"/>
  <c r="CS100" i="2"/>
  <c r="H153" i="2"/>
  <c r="H201" i="2" s="1"/>
  <c r="H129" i="2"/>
  <c r="H177" i="2" s="1"/>
  <c r="T153" i="2"/>
  <c r="T201" i="2" s="1"/>
  <c r="T129" i="2"/>
  <c r="T177" i="2" s="1"/>
  <c r="AF153" i="2"/>
  <c r="AF201" i="2" s="1"/>
  <c r="AF129" i="2"/>
  <c r="AF177" i="2" s="1"/>
  <c r="AN153" i="2"/>
  <c r="AN201" i="2" s="1"/>
  <c r="AN129" i="2"/>
  <c r="AN177" i="2" s="1"/>
  <c r="AZ153" i="2"/>
  <c r="AZ201" i="2" s="1"/>
  <c r="AZ129" i="2"/>
  <c r="AZ177" i="2" s="1"/>
  <c r="BP153" i="2"/>
  <c r="BP201" i="2" s="1"/>
  <c r="BP129" i="2"/>
  <c r="BP177" i="2" s="1"/>
  <c r="CB153" i="2"/>
  <c r="CB201" i="2" s="1"/>
  <c r="CB129" i="2"/>
  <c r="CB177" i="2" s="1"/>
  <c r="CN153" i="2"/>
  <c r="CN201" i="2" s="1"/>
  <c r="CN129" i="2"/>
  <c r="CN177" i="2" s="1"/>
  <c r="C154" i="2"/>
  <c r="C202" i="2" s="1"/>
  <c r="C130" i="2"/>
  <c r="C178" i="2" s="1"/>
  <c r="K154" i="2"/>
  <c r="K202" i="2" s="1"/>
  <c r="K130" i="2"/>
  <c r="K178" i="2" s="1"/>
  <c r="W154" i="2"/>
  <c r="W202" i="2" s="1"/>
  <c r="W130" i="2"/>
  <c r="W178" i="2" s="1"/>
  <c r="AE154" i="2"/>
  <c r="AE202" i="2" s="1"/>
  <c r="AE130" i="2"/>
  <c r="AE178" i="2" s="1"/>
  <c r="AM154" i="2"/>
  <c r="AM202" i="2" s="1"/>
  <c r="AM130" i="2"/>
  <c r="AM178" i="2" s="1"/>
  <c r="AY154" i="2"/>
  <c r="AY202" i="2" s="1"/>
  <c r="AY130" i="2"/>
  <c r="AY178" i="2" s="1"/>
  <c r="BC154" i="2"/>
  <c r="BC202" i="2" s="1"/>
  <c r="BC130" i="2"/>
  <c r="BC178" i="2" s="1"/>
  <c r="BO154" i="2"/>
  <c r="BO202" i="2" s="1"/>
  <c r="BO130" i="2"/>
  <c r="BO178" i="2" s="1"/>
  <c r="CA154" i="2"/>
  <c r="CA202" i="2" s="1"/>
  <c r="CA130" i="2"/>
  <c r="CA178" i="2" s="1"/>
  <c r="CM154" i="2"/>
  <c r="CM202" i="2" s="1"/>
  <c r="CM130" i="2"/>
  <c r="CM178" i="2" s="1"/>
  <c r="CY154" i="2"/>
  <c r="CY202" i="2" s="1"/>
  <c r="CY130" i="2"/>
  <c r="CY178" i="2" s="1"/>
  <c r="J155" i="2"/>
  <c r="J203" i="2" s="1"/>
  <c r="J131" i="2"/>
  <c r="J179" i="2" s="1"/>
  <c r="V155" i="2"/>
  <c r="V203" i="2" s="1"/>
  <c r="V131" i="2"/>
  <c r="V179" i="2" s="1"/>
  <c r="AH155" i="2"/>
  <c r="AH203" i="2" s="1"/>
  <c r="AH131" i="2"/>
  <c r="AH179" i="2" s="1"/>
  <c r="AP155" i="2"/>
  <c r="AP203" i="2" s="1"/>
  <c r="AP131" i="2"/>
  <c r="AP179" i="2" s="1"/>
  <c r="BB155" i="2"/>
  <c r="BB203" i="2" s="1"/>
  <c r="BB131" i="2"/>
  <c r="BB179" i="2" s="1"/>
  <c r="BN155" i="2"/>
  <c r="BN203" i="2" s="1"/>
  <c r="BN131" i="2"/>
  <c r="BN179" i="2" s="1"/>
  <c r="BZ155" i="2"/>
  <c r="BZ203" i="2" s="1"/>
  <c r="BZ131" i="2"/>
  <c r="BZ179" i="2" s="1"/>
  <c r="CL155" i="2"/>
  <c r="CL203" i="2" s="1"/>
  <c r="CL131" i="2"/>
  <c r="CL179" i="2" s="1"/>
  <c r="CX155" i="2"/>
  <c r="CX203" i="2" s="1"/>
  <c r="CX131" i="2"/>
  <c r="CX179" i="2" s="1"/>
  <c r="M156" i="2"/>
  <c r="M204" i="2" s="1"/>
  <c r="M132" i="2"/>
  <c r="M180" i="2" s="1"/>
  <c r="Y156" i="2"/>
  <c r="Y204" i="2" s="1"/>
  <c r="Y132" i="2"/>
  <c r="Y180" i="2" s="1"/>
  <c r="AK156" i="2"/>
  <c r="AK204" i="2" s="1"/>
  <c r="AK132" i="2"/>
  <c r="AK180" i="2" s="1"/>
  <c r="AW156" i="2"/>
  <c r="AW204" i="2" s="1"/>
  <c r="AW132" i="2"/>
  <c r="AW180" i="2" s="1"/>
  <c r="BE156" i="2"/>
  <c r="BE204" i="2" s="1"/>
  <c r="BE132" i="2"/>
  <c r="BE180" i="2" s="1"/>
  <c r="BQ156" i="2"/>
  <c r="BQ204" i="2" s="1"/>
  <c r="BQ132" i="2"/>
  <c r="BQ180" i="2" s="1"/>
  <c r="CC156" i="2"/>
  <c r="CC204" i="2" s="1"/>
  <c r="CC132" i="2"/>
  <c r="CC180" i="2" s="1"/>
  <c r="CO156" i="2"/>
  <c r="CO204" i="2" s="1"/>
  <c r="CO132" i="2"/>
  <c r="CO180" i="2" s="1"/>
  <c r="CW156" i="2"/>
  <c r="CW204" i="2" s="1"/>
  <c r="CW132" i="2"/>
  <c r="CW180" i="2" s="1"/>
  <c r="L157" i="2"/>
  <c r="L205" i="2" s="1"/>
  <c r="L133" i="2"/>
  <c r="L181" i="2" s="1"/>
  <c r="P157" i="2"/>
  <c r="P205" i="2" s="1"/>
  <c r="P133" i="2"/>
  <c r="P181" i="2" s="1"/>
  <c r="AB157" i="2"/>
  <c r="AB205" i="2" s="1"/>
  <c r="AB133" i="2"/>
  <c r="AB181" i="2" s="1"/>
  <c r="AN157" i="2"/>
  <c r="AN205" i="2" s="1"/>
  <c r="AN133" i="2"/>
  <c r="AN181" i="2" s="1"/>
  <c r="AZ157" i="2"/>
  <c r="AZ205" i="2" s="1"/>
  <c r="AZ133" i="2"/>
  <c r="AZ181" i="2" s="1"/>
  <c r="BH133" i="2"/>
  <c r="BH181" i="2" s="1"/>
  <c r="BH157" i="2"/>
  <c r="BH205" i="2" s="1"/>
  <c r="BT157" i="2"/>
  <c r="BT205" i="2" s="1"/>
  <c r="BT133" i="2"/>
  <c r="BT181" i="2" s="1"/>
  <c r="CF157" i="2"/>
  <c r="CF205" i="2" s="1"/>
  <c r="CF133" i="2"/>
  <c r="CF181" i="2" s="1"/>
  <c r="CR157" i="2"/>
  <c r="CR205" i="2" s="1"/>
  <c r="CR133" i="2"/>
  <c r="CR181" i="2" s="1"/>
  <c r="CV157" i="2"/>
  <c r="CV205" i="2" s="1"/>
  <c r="CV133" i="2"/>
  <c r="CV181" i="2" s="1"/>
  <c r="K158" i="2"/>
  <c r="K206" i="2" s="1"/>
  <c r="K134" i="2"/>
  <c r="K182" i="2" s="1"/>
  <c r="W158" i="2"/>
  <c r="W206" i="2" s="1"/>
  <c r="W134" i="2"/>
  <c r="W182" i="2" s="1"/>
  <c r="AE158" i="2"/>
  <c r="AE206" i="2" s="1"/>
  <c r="AE134" i="2"/>
  <c r="AE182" i="2" s="1"/>
  <c r="AM158" i="2"/>
  <c r="AM206" i="2" s="1"/>
  <c r="AM134" i="2"/>
  <c r="AM182" i="2" s="1"/>
  <c r="AY158" i="2"/>
  <c r="AY206" i="2" s="1"/>
  <c r="AY134" i="2"/>
  <c r="AY182" i="2" s="1"/>
  <c r="BG158" i="2"/>
  <c r="BG206" i="2" s="1"/>
  <c r="BG134" i="2"/>
  <c r="BG182" i="2" s="1"/>
  <c r="BW158" i="2"/>
  <c r="BW206" i="2" s="1"/>
  <c r="BW134" i="2"/>
  <c r="BW182" i="2" s="1"/>
  <c r="CI158" i="2"/>
  <c r="CI206" i="2" s="1"/>
  <c r="CI134" i="2"/>
  <c r="CI182" i="2" s="1"/>
  <c r="CU158" i="2"/>
  <c r="CU206" i="2" s="1"/>
  <c r="CU134" i="2"/>
  <c r="CU182" i="2" s="1"/>
  <c r="J159" i="2"/>
  <c r="J207" i="2" s="1"/>
  <c r="J135" i="2"/>
  <c r="J183" i="2" s="1"/>
  <c r="V159" i="2"/>
  <c r="V207" i="2" s="1"/>
  <c r="V135" i="2"/>
  <c r="V183" i="2" s="1"/>
  <c r="AD159" i="2"/>
  <c r="AD207" i="2" s="1"/>
  <c r="AD135" i="2"/>
  <c r="AD183" i="2" s="1"/>
  <c r="AP159" i="2"/>
  <c r="AP207" i="2" s="1"/>
  <c r="AP135" i="2"/>
  <c r="AP183" i="2" s="1"/>
  <c r="BB159" i="2"/>
  <c r="BB207" i="2" s="1"/>
  <c r="BB135" i="2"/>
  <c r="BB183" i="2" s="1"/>
  <c r="BN159" i="2"/>
  <c r="BN207" i="2" s="1"/>
  <c r="BN135" i="2"/>
  <c r="BN183" i="2" s="1"/>
  <c r="BV159" i="2"/>
  <c r="BV207" i="2" s="1"/>
  <c r="BV135" i="2"/>
  <c r="BV183" i="2" s="1"/>
  <c r="CH159" i="2"/>
  <c r="CH207" i="2" s="1"/>
  <c r="CH135" i="2"/>
  <c r="CH183" i="2" s="1"/>
  <c r="CT159" i="2"/>
  <c r="CT135" i="2"/>
  <c r="CT183" i="2" s="1"/>
  <c r="I160" i="2"/>
  <c r="I208" i="2" s="1"/>
  <c r="I136" i="2"/>
  <c r="I184" i="2" s="1"/>
  <c r="U160" i="2"/>
  <c r="U208" i="2" s="1"/>
  <c r="U136" i="2"/>
  <c r="U184" i="2" s="1"/>
  <c r="AG160" i="2"/>
  <c r="AG208" i="2" s="1"/>
  <c r="AG136" i="2"/>
  <c r="AG184" i="2" s="1"/>
  <c r="AS160" i="2"/>
  <c r="AS208" i="2" s="1"/>
  <c r="AS136" i="2"/>
  <c r="AS184" i="2" s="1"/>
  <c r="BA160" i="2"/>
  <c r="BA208" i="2" s="1"/>
  <c r="BA136" i="2"/>
  <c r="BA184" i="2" s="1"/>
  <c r="BM160" i="2"/>
  <c r="BM208" i="2" s="1"/>
  <c r="BM136" i="2"/>
  <c r="BM184" i="2" s="1"/>
  <c r="BY160" i="2"/>
  <c r="BY208" i="2" s="1"/>
  <c r="BY136" i="2"/>
  <c r="BY184" i="2" s="1"/>
  <c r="CK160" i="2"/>
  <c r="CK208" i="2" s="1"/>
  <c r="CK136" i="2"/>
  <c r="CK184" i="2" s="1"/>
  <c r="CW160" i="2"/>
  <c r="CW208" i="2" s="1"/>
  <c r="CW136" i="2"/>
  <c r="CW184" i="2" s="1"/>
  <c r="L161" i="2"/>
  <c r="L209" i="2" s="1"/>
  <c r="L137" i="2"/>
  <c r="L185" i="2" s="1"/>
  <c r="T161" i="2"/>
  <c r="T209" i="2" s="1"/>
  <c r="T137" i="2"/>
  <c r="T185" i="2" s="1"/>
  <c r="AB161" i="2"/>
  <c r="AB209" i="2" s="1"/>
  <c r="AB137" i="2"/>
  <c r="AB185" i="2" s="1"/>
  <c r="AN161" i="2"/>
  <c r="AN209" i="2" s="1"/>
  <c r="AN137" i="2"/>
  <c r="AN185" i="2" s="1"/>
  <c r="AV161" i="2"/>
  <c r="AV209" i="2" s="1"/>
  <c r="AV137" i="2"/>
  <c r="AV185" i="2" s="1"/>
  <c r="BH161" i="2"/>
  <c r="BH209" i="2" s="1"/>
  <c r="BH137" i="2"/>
  <c r="BH185" i="2" s="1"/>
  <c r="BT161" i="2"/>
  <c r="BT209" i="2" s="1"/>
  <c r="BT137" i="2"/>
  <c r="BT185" i="2" s="1"/>
  <c r="CF161" i="2"/>
  <c r="CF209" i="2" s="1"/>
  <c r="CF137" i="2"/>
  <c r="CF185" i="2" s="1"/>
  <c r="CR161" i="2"/>
  <c r="CR209" i="2" s="1"/>
  <c r="CR137" i="2"/>
  <c r="CR185" i="2" s="1"/>
  <c r="C138" i="2"/>
  <c r="C186" i="2" s="1"/>
  <c r="C162" i="2"/>
  <c r="O162" i="2"/>
  <c r="O210" i="2" s="1"/>
  <c r="O138" i="2"/>
  <c r="O186" i="2" s="1"/>
  <c r="W162" i="2"/>
  <c r="W210" i="2" s="1"/>
  <c r="W138" i="2"/>
  <c r="W186" i="2" s="1"/>
  <c r="AI162" i="2"/>
  <c r="AI210" i="2" s="1"/>
  <c r="AI138" i="2"/>
  <c r="AI186" i="2" s="1"/>
  <c r="AU162" i="2"/>
  <c r="AU210" i="2" s="1"/>
  <c r="AU138" i="2"/>
  <c r="AU186" i="2" s="1"/>
  <c r="BG162" i="2"/>
  <c r="BG210" i="2" s="1"/>
  <c r="BG138" i="2"/>
  <c r="BG186" i="2" s="1"/>
  <c r="BO162" i="2"/>
  <c r="BO210" i="2" s="1"/>
  <c r="BO138" i="2"/>
  <c r="BO186" i="2" s="1"/>
  <c r="CA162" i="2"/>
  <c r="CA210" i="2" s="1"/>
  <c r="CA138" i="2"/>
  <c r="CA186" i="2" s="1"/>
  <c r="CM162" i="2"/>
  <c r="CM210" i="2" s="1"/>
  <c r="CM138" i="2"/>
  <c r="CM186" i="2" s="1"/>
  <c r="CU162" i="2"/>
  <c r="CU138" i="2"/>
  <c r="CU186" i="2" s="1"/>
  <c r="J163" i="2"/>
  <c r="J211" i="2" s="1"/>
  <c r="J139" i="2"/>
  <c r="J187" i="2" s="1"/>
  <c r="V163" i="2"/>
  <c r="V211" i="2" s="1"/>
  <c r="V139" i="2"/>
  <c r="V187" i="2" s="1"/>
  <c r="AH163" i="2"/>
  <c r="AH211" i="2" s="1"/>
  <c r="AH139" i="2"/>
  <c r="AH187" i="2" s="1"/>
  <c r="AP163" i="2"/>
  <c r="AP211" i="2" s="1"/>
  <c r="AP139" i="2"/>
  <c r="AP187" i="2" s="1"/>
  <c r="BB163" i="2"/>
  <c r="BB211" i="2" s="1"/>
  <c r="BB139" i="2"/>
  <c r="BB187" i="2" s="1"/>
  <c r="BJ163" i="2"/>
  <c r="BJ211" i="2" s="1"/>
  <c r="BJ139" i="2"/>
  <c r="BJ187" i="2" s="1"/>
  <c r="BV163" i="2"/>
  <c r="BV211" i="2" s="1"/>
  <c r="BV139" i="2"/>
  <c r="BV187" i="2" s="1"/>
  <c r="CH163" i="2"/>
  <c r="CH211" i="2" s="1"/>
  <c r="CH139" i="2"/>
  <c r="CH187" i="2" s="1"/>
  <c r="CT163" i="2"/>
  <c r="CT211" i="2" s="1"/>
  <c r="CT139" i="2"/>
  <c r="CT187" i="2" s="1"/>
  <c r="I164" i="2"/>
  <c r="I212" i="2" s="1"/>
  <c r="I140" i="2"/>
  <c r="I188" i="2" s="1"/>
  <c r="Q164" i="2"/>
  <c r="Q212" i="2" s="1"/>
  <c r="Q140" i="2"/>
  <c r="Q188" i="2" s="1"/>
  <c r="AC164" i="2"/>
  <c r="AC212" i="2" s="1"/>
  <c r="AC140" i="2"/>
  <c r="AC188" i="2" s="1"/>
  <c r="AK164" i="2"/>
  <c r="AK212" i="2" s="1"/>
  <c r="AK140" i="2"/>
  <c r="AK188" i="2" s="1"/>
  <c r="AW164" i="2"/>
  <c r="AW212" i="2" s="1"/>
  <c r="AW140" i="2"/>
  <c r="AW188" i="2" s="1"/>
  <c r="BI164" i="2"/>
  <c r="BI212" i="2" s="1"/>
  <c r="BI140" i="2"/>
  <c r="BI188" i="2" s="1"/>
  <c r="BY164" i="2"/>
  <c r="BY212" i="2" s="1"/>
  <c r="BY140" i="2"/>
  <c r="BY188" i="2" s="1"/>
  <c r="CK164" i="2"/>
  <c r="CK212" i="2" s="1"/>
  <c r="CK140" i="2"/>
  <c r="CK188" i="2" s="1"/>
  <c r="CW164" i="2"/>
  <c r="CW212" i="2" s="1"/>
  <c r="CW140" i="2"/>
  <c r="CW188" i="2" s="1"/>
  <c r="L141" i="2"/>
  <c r="L165" i="2"/>
  <c r="L213" i="2" s="1"/>
  <c r="X165" i="2"/>
  <c r="X213" i="2" s="1"/>
  <c r="X141" i="2"/>
  <c r="X189" i="2" s="1"/>
  <c r="AJ165" i="2"/>
  <c r="AJ213" i="2" s="1"/>
  <c r="AJ141" i="2"/>
  <c r="AJ189" i="2" s="1"/>
  <c r="AV165" i="2"/>
  <c r="AV213" i="2" s="1"/>
  <c r="AV141" i="2"/>
  <c r="AV189" i="2" s="1"/>
  <c r="BL165" i="2"/>
  <c r="BL213" i="2" s="1"/>
  <c r="BL141" i="2"/>
  <c r="BL189" i="2" s="1"/>
  <c r="BX165" i="2"/>
  <c r="BX213" i="2" s="1"/>
  <c r="BX141" i="2"/>
  <c r="BX189" i="2" s="1"/>
  <c r="CJ165" i="2"/>
  <c r="CJ213" i="2" s="1"/>
  <c r="CJ141" i="2"/>
  <c r="CJ189" i="2" s="1"/>
  <c r="CV165" i="2"/>
  <c r="CV213" i="2" s="1"/>
  <c r="CV141" i="2"/>
  <c r="CV189" i="2" s="1"/>
  <c r="K166" i="2"/>
  <c r="K214" i="2" s="1"/>
  <c r="K142" i="2"/>
  <c r="K190" i="2" s="1"/>
  <c r="S166" i="2"/>
  <c r="S214" i="2" s="1"/>
  <c r="S142" i="2"/>
  <c r="S190" i="2" s="1"/>
  <c r="AE166" i="2"/>
  <c r="AE214" i="2" s="1"/>
  <c r="AE142" i="2"/>
  <c r="AE190" i="2" s="1"/>
  <c r="AQ166" i="2"/>
  <c r="AQ214" i="2" s="1"/>
  <c r="AQ142" i="2"/>
  <c r="AQ190" i="2" s="1"/>
  <c r="BC166" i="2"/>
  <c r="BC214" i="2" s="1"/>
  <c r="BC142" i="2"/>
  <c r="BC190" i="2" s="1"/>
  <c r="BK166" i="2"/>
  <c r="BK214" i="2" s="1"/>
  <c r="BK142" i="2"/>
  <c r="BK190" i="2" s="1"/>
  <c r="BW166" i="2"/>
  <c r="BW214" i="2" s="1"/>
  <c r="BW142" i="2"/>
  <c r="BW190" i="2" s="1"/>
  <c r="CI166" i="2"/>
  <c r="CI214" i="2" s="1"/>
  <c r="CI142" i="2"/>
  <c r="CI190" i="2" s="1"/>
  <c r="CU166" i="2"/>
  <c r="CU214" i="2" s="1"/>
  <c r="CU142" i="2"/>
  <c r="CU190" i="2" s="1"/>
  <c r="J167" i="2"/>
  <c r="J215" i="2" s="1"/>
  <c r="J143" i="2"/>
  <c r="J191" i="2" s="1"/>
  <c r="Z167" i="2"/>
  <c r="Z215" i="2" s="1"/>
  <c r="Z143" i="2"/>
  <c r="Z191" i="2" s="1"/>
  <c r="AH167" i="2"/>
  <c r="AH215" i="2" s="1"/>
  <c r="AH143" i="2"/>
  <c r="AH191" i="2" s="1"/>
  <c r="AP167" i="2"/>
  <c r="AP215" i="2" s="1"/>
  <c r="AP143" i="2"/>
  <c r="AP191" i="2" s="1"/>
  <c r="BB167" i="2"/>
  <c r="BB215" i="2" s="1"/>
  <c r="BB143" i="2"/>
  <c r="BB191" i="2" s="1"/>
  <c r="BN167" i="2"/>
  <c r="BN215" i="2" s="1"/>
  <c r="BN143" i="2"/>
  <c r="BN191" i="2" s="1"/>
  <c r="BZ167" i="2"/>
  <c r="BZ215" i="2" s="1"/>
  <c r="BZ143" i="2"/>
  <c r="BZ191" i="2" s="1"/>
  <c r="CH167" i="2"/>
  <c r="CH215" i="2" s="1"/>
  <c r="CH143" i="2"/>
  <c r="CH191" i="2" s="1"/>
  <c r="CT167" i="2"/>
  <c r="CT215" i="2" s="1"/>
  <c r="CT143" i="2"/>
  <c r="CT191" i="2" s="1"/>
  <c r="I168" i="2"/>
  <c r="I216" i="2" s="1"/>
  <c r="I144" i="2"/>
  <c r="I192" i="2" s="1"/>
  <c r="U168" i="2"/>
  <c r="U216" i="2" s="1"/>
  <c r="U144" i="2"/>
  <c r="U192" i="2" s="1"/>
  <c r="AG168" i="2"/>
  <c r="AG216" i="2" s="1"/>
  <c r="AG144" i="2"/>
  <c r="AG192" i="2" s="1"/>
  <c r="AK168" i="2"/>
  <c r="AK216" i="2" s="1"/>
  <c r="AK144" i="2"/>
  <c r="AK192" i="2" s="1"/>
  <c r="AW168" i="2"/>
  <c r="AW216" i="2" s="1"/>
  <c r="AW144" i="2"/>
  <c r="AW192" i="2" s="1"/>
  <c r="BE168" i="2"/>
  <c r="BE216" i="2" s="1"/>
  <c r="BE144" i="2"/>
  <c r="BE192" i="2" s="1"/>
  <c r="BQ168" i="2"/>
  <c r="BQ216" i="2" s="1"/>
  <c r="BQ144" i="2"/>
  <c r="BQ192" i="2" s="1"/>
  <c r="BY168" i="2"/>
  <c r="BY144" i="2"/>
  <c r="BY192" i="2" s="1"/>
  <c r="CK168" i="2"/>
  <c r="CK216" i="2" s="1"/>
  <c r="CK144" i="2"/>
  <c r="CK192" i="2" s="1"/>
  <c r="CW168" i="2"/>
  <c r="CW216" i="2" s="1"/>
  <c r="CW144" i="2"/>
  <c r="CW192" i="2" s="1"/>
  <c r="L169" i="2"/>
  <c r="L217" i="2" s="1"/>
  <c r="L145" i="2"/>
  <c r="L193" i="2" s="1"/>
  <c r="T169" i="2"/>
  <c r="T217" i="2" s="1"/>
  <c r="T145" i="2"/>
  <c r="T193" i="2" s="1"/>
  <c r="AB169" i="2"/>
  <c r="AB217" i="2" s="1"/>
  <c r="AB145" i="2"/>
  <c r="AB193" i="2" s="1"/>
  <c r="AN169" i="2"/>
  <c r="AN217" i="2" s="1"/>
  <c r="AN145" i="2"/>
  <c r="AN193" i="2" s="1"/>
  <c r="AZ169" i="2"/>
  <c r="AZ217" i="2" s="1"/>
  <c r="AZ145" i="2"/>
  <c r="AZ193" i="2" s="1"/>
  <c r="BL169" i="2"/>
  <c r="BL217" i="2" s="1"/>
  <c r="BL145" i="2"/>
  <c r="BL193" i="2" s="1"/>
  <c r="BX169" i="2"/>
  <c r="BX217" i="2" s="1"/>
  <c r="BX145" i="2"/>
  <c r="BX193" i="2" s="1"/>
  <c r="CF169" i="2"/>
  <c r="CF217" i="2" s="1"/>
  <c r="CF145" i="2"/>
  <c r="CF193" i="2" s="1"/>
  <c r="CR169" i="2"/>
  <c r="CR145" i="2"/>
  <c r="CR193" i="2" s="1"/>
  <c r="G170" i="2"/>
  <c r="G218" i="2" s="1"/>
  <c r="G146" i="2"/>
  <c r="G194" i="2" s="1"/>
  <c r="S170" i="2"/>
  <c r="S218" i="2" s="1"/>
  <c r="S146" i="2"/>
  <c r="S194" i="2" s="1"/>
  <c r="AE170" i="2"/>
  <c r="AE218" i="2" s="1"/>
  <c r="AE146" i="2"/>
  <c r="AE194" i="2" s="1"/>
  <c r="AU170" i="2"/>
  <c r="AU218" i="2" s="1"/>
  <c r="AU146" i="2"/>
  <c r="AU194" i="2" s="1"/>
  <c r="BG170" i="2"/>
  <c r="BG218" i="2" s="1"/>
  <c r="BG146" i="2"/>
  <c r="BG194" i="2" s="1"/>
  <c r="BS170" i="2"/>
  <c r="BS218" i="2" s="1"/>
  <c r="BS146" i="2"/>
  <c r="BS194" i="2" s="1"/>
  <c r="CE170" i="2"/>
  <c r="CE218" i="2" s="1"/>
  <c r="CE146" i="2"/>
  <c r="CE194" i="2" s="1"/>
  <c r="CQ170" i="2"/>
  <c r="CQ218" i="2" s="1"/>
  <c r="CQ146" i="2"/>
  <c r="CQ194" i="2" s="1"/>
  <c r="F171" i="2"/>
  <c r="F219" i="2" s="1"/>
  <c r="F147" i="2"/>
  <c r="F195" i="2" s="1"/>
  <c r="V171" i="2"/>
  <c r="V219" i="2" s="1"/>
  <c r="V147" i="2"/>
  <c r="V195" i="2" s="1"/>
  <c r="AH171" i="2"/>
  <c r="AH219" i="2" s="1"/>
  <c r="AH147" i="2"/>
  <c r="AH195" i="2" s="1"/>
  <c r="AP171" i="2"/>
  <c r="AP219" i="2" s="1"/>
  <c r="AP147" i="2"/>
  <c r="AP195" i="2" s="1"/>
  <c r="BB171" i="2"/>
  <c r="BB219" i="2" s="1"/>
  <c r="BB147" i="2"/>
  <c r="BB195" i="2" s="1"/>
  <c r="BN171" i="2"/>
  <c r="BN219" i="2" s="1"/>
  <c r="BN147" i="2"/>
  <c r="BN195" i="2" s="1"/>
  <c r="BZ171" i="2"/>
  <c r="BZ147" i="2"/>
  <c r="CL171" i="2"/>
  <c r="CL147" i="2"/>
  <c r="CL195" i="2" s="1"/>
  <c r="CX171" i="2"/>
  <c r="CX147" i="2"/>
  <c r="F152" i="2"/>
  <c r="F128" i="2"/>
  <c r="F148" i="2" s="1"/>
  <c r="F100" i="2"/>
  <c r="R152" i="2"/>
  <c r="R128" i="2"/>
  <c r="R100" i="2"/>
  <c r="AD152" i="2"/>
  <c r="AD128" i="2"/>
  <c r="AD100" i="2"/>
  <c r="AT152" i="2"/>
  <c r="AT128" i="2"/>
  <c r="AT100" i="2"/>
  <c r="BF152" i="2"/>
  <c r="BF128" i="2"/>
  <c r="BF148" i="2" s="1"/>
  <c r="BF100" i="2"/>
  <c r="BR128" i="2"/>
  <c r="BR152" i="2"/>
  <c r="BR100" i="2"/>
  <c r="CH152" i="2"/>
  <c r="CH128" i="2"/>
  <c r="CH100" i="2"/>
  <c r="CT152" i="2"/>
  <c r="CT128" i="2"/>
  <c r="CT100" i="2"/>
  <c r="CX152" i="2"/>
  <c r="CX128" i="2"/>
  <c r="CX100" i="2"/>
  <c r="I153" i="2"/>
  <c r="I201" i="2" s="1"/>
  <c r="I129" i="2"/>
  <c r="I177" i="2" s="1"/>
  <c r="M153" i="2"/>
  <c r="M201" i="2" s="1"/>
  <c r="M129" i="2"/>
  <c r="M177" i="2" s="1"/>
  <c r="U153" i="2"/>
  <c r="U201" i="2" s="1"/>
  <c r="U129" i="2"/>
  <c r="U177" i="2" s="1"/>
  <c r="AC153" i="2"/>
  <c r="AC201" i="2" s="1"/>
  <c r="AC129" i="2"/>
  <c r="AC177" i="2" s="1"/>
  <c r="AG153" i="2"/>
  <c r="AG201" i="2" s="1"/>
  <c r="AG129" i="2"/>
  <c r="AG177" i="2" s="1"/>
  <c r="AK153" i="2"/>
  <c r="AK201" i="2" s="1"/>
  <c r="AK129" i="2"/>
  <c r="AK177" i="2" s="1"/>
  <c r="AO153" i="2"/>
  <c r="AO201" i="2" s="1"/>
  <c r="AO129" i="2"/>
  <c r="AO177" i="2" s="1"/>
  <c r="AS153" i="2"/>
  <c r="AS201" i="2" s="1"/>
  <c r="AS129" i="2"/>
  <c r="AS177" i="2" s="1"/>
  <c r="AW153" i="2"/>
  <c r="AW201" i="2" s="1"/>
  <c r="AW129" i="2"/>
  <c r="AW177" i="2" s="1"/>
  <c r="BA153" i="2"/>
  <c r="BA201" i="2" s="1"/>
  <c r="BA129" i="2"/>
  <c r="BA177" i="2" s="1"/>
  <c r="BE153" i="2"/>
  <c r="BE201" i="2" s="1"/>
  <c r="BE129" i="2"/>
  <c r="BE177" i="2" s="1"/>
  <c r="BI153" i="2"/>
  <c r="BI201" i="2" s="1"/>
  <c r="BI129" i="2"/>
  <c r="BI177" i="2" s="1"/>
  <c r="BM153" i="2"/>
  <c r="BM201" i="2" s="1"/>
  <c r="BM129" i="2"/>
  <c r="BM177" i="2" s="1"/>
  <c r="BQ153" i="2"/>
  <c r="BQ201" i="2" s="1"/>
  <c r="BQ129" i="2"/>
  <c r="BQ177" i="2" s="1"/>
  <c r="BU153" i="2"/>
  <c r="BU201" i="2" s="1"/>
  <c r="BU129" i="2"/>
  <c r="BU177" i="2" s="1"/>
  <c r="BY153" i="2"/>
  <c r="BY201" i="2" s="1"/>
  <c r="BY129" i="2"/>
  <c r="BY177" i="2" s="1"/>
  <c r="CC153" i="2"/>
  <c r="CC201" i="2" s="1"/>
  <c r="CC129" i="2"/>
  <c r="CC177" i="2" s="1"/>
  <c r="CG153" i="2"/>
  <c r="CG201" i="2" s="1"/>
  <c r="CG129" i="2"/>
  <c r="CG177" i="2" s="1"/>
  <c r="CK153" i="2"/>
  <c r="CK201" i="2" s="1"/>
  <c r="CK129" i="2"/>
  <c r="CK177" i="2" s="1"/>
  <c r="CO153" i="2"/>
  <c r="CO201" i="2" s="1"/>
  <c r="CO129" i="2"/>
  <c r="CO177" i="2" s="1"/>
  <c r="CS153" i="2"/>
  <c r="CS201" i="2" s="1"/>
  <c r="CS129" i="2"/>
  <c r="CS177" i="2" s="1"/>
  <c r="CW153" i="2"/>
  <c r="CW201" i="2" s="1"/>
  <c r="CW129" i="2"/>
  <c r="CW177" i="2" s="1"/>
  <c r="D154" i="2"/>
  <c r="D202" i="2" s="1"/>
  <c r="D130" i="2"/>
  <c r="D178" i="2" s="1"/>
  <c r="H154" i="2"/>
  <c r="H202" i="2" s="1"/>
  <c r="H130" i="2"/>
  <c r="H178" i="2" s="1"/>
  <c r="L154" i="2"/>
  <c r="L202" i="2" s="1"/>
  <c r="L130" i="2"/>
  <c r="L178" i="2" s="1"/>
  <c r="P130" i="2"/>
  <c r="P178" i="2" s="1"/>
  <c r="P154" i="2"/>
  <c r="P202" i="2" s="1"/>
  <c r="T154" i="2"/>
  <c r="T202" i="2" s="1"/>
  <c r="T130" i="2"/>
  <c r="T178" i="2" s="1"/>
  <c r="X154" i="2"/>
  <c r="X202" i="2" s="1"/>
  <c r="X130" i="2"/>
  <c r="X178" i="2" s="1"/>
  <c r="AB154" i="2"/>
  <c r="AB202" i="2" s="1"/>
  <c r="AB130" i="2"/>
  <c r="AB178" i="2" s="1"/>
  <c r="AF154" i="2"/>
  <c r="AF202" i="2" s="1"/>
  <c r="AF130" i="2"/>
  <c r="AF178" i="2" s="1"/>
  <c r="AJ154" i="2"/>
  <c r="AJ202" i="2" s="1"/>
  <c r="AJ130" i="2"/>
  <c r="AJ178" i="2" s="1"/>
  <c r="AN154" i="2"/>
  <c r="AN202" i="2" s="1"/>
  <c r="AN130" i="2"/>
  <c r="AN178" i="2" s="1"/>
  <c r="AR154" i="2"/>
  <c r="AR202" i="2" s="1"/>
  <c r="AR130" i="2"/>
  <c r="AR178" i="2" s="1"/>
  <c r="AV154" i="2"/>
  <c r="AV202" i="2" s="1"/>
  <c r="AV130" i="2"/>
  <c r="AV178" i="2" s="1"/>
  <c r="AZ154" i="2"/>
  <c r="AZ202" i="2" s="1"/>
  <c r="AZ130" i="2"/>
  <c r="AZ178" i="2" s="1"/>
  <c r="BD154" i="2"/>
  <c r="BD202" i="2" s="1"/>
  <c r="BD130" i="2"/>
  <c r="BD178" i="2" s="1"/>
  <c r="BH154" i="2"/>
  <c r="BH202" i="2" s="1"/>
  <c r="BH130" i="2"/>
  <c r="BH178" i="2" s="1"/>
  <c r="BL154" i="2"/>
  <c r="BL202" i="2" s="1"/>
  <c r="BL130" i="2"/>
  <c r="BL178" i="2" s="1"/>
  <c r="BP154" i="2"/>
  <c r="BP202" i="2" s="1"/>
  <c r="BP130" i="2"/>
  <c r="BP178" i="2" s="1"/>
  <c r="BT154" i="2"/>
  <c r="BT202" i="2" s="1"/>
  <c r="BT130" i="2"/>
  <c r="BT178" i="2" s="1"/>
  <c r="BX154" i="2"/>
  <c r="BX202" i="2" s="1"/>
  <c r="BX130" i="2"/>
  <c r="BX178" i="2" s="1"/>
  <c r="CB130" i="2"/>
  <c r="CB178" i="2" s="1"/>
  <c r="CB154" i="2"/>
  <c r="CB202" i="2" s="1"/>
  <c r="CF154" i="2"/>
  <c r="CF202" i="2" s="1"/>
  <c r="CF130" i="2"/>
  <c r="CF178" i="2" s="1"/>
  <c r="CJ154" i="2"/>
  <c r="CJ202" i="2" s="1"/>
  <c r="CJ130" i="2"/>
  <c r="CJ178" i="2" s="1"/>
  <c r="CN154" i="2"/>
  <c r="CN202" i="2" s="1"/>
  <c r="CN130" i="2"/>
  <c r="CN178" i="2" s="1"/>
  <c r="CR154" i="2"/>
  <c r="CR202" i="2" s="1"/>
  <c r="CR130" i="2"/>
  <c r="CR178" i="2" s="1"/>
  <c r="CV154" i="2"/>
  <c r="CV202" i="2" s="1"/>
  <c r="CV130" i="2"/>
  <c r="CV178" i="2" s="1"/>
  <c r="C155" i="2"/>
  <c r="C203" i="2" s="1"/>
  <c r="C131" i="2"/>
  <c r="C179" i="2" s="1"/>
  <c r="G155" i="2"/>
  <c r="G203" i="2" s="1"/>
  <c r="G131" i="2"/>
  <c r="G179" i="2" s="1"/>
  <c r="K155" i="2"/>
  <c r="K203" i="2" s="1"/>
  <c r="K131" i="2"/>
  <c r="K179" i="2" s="1"/>
  <c r="O155" i="2"/>
  <c r="O203" i="2" s="1"/>
  <c r="O131" i="2"/>
  <c r="O179" i="2" s="1"/>
  <c r="S155" i="2"/>
  <c r="S203" i="2" s="1"/>
  <c r="S131" i="2"/>
  <c r="S179" i="2" s="1"/>
  <c r="W155" i="2"/>
  <c r="W203" i="2" s="1"/>
  <c r="W131" i="2"/>
  <c r="W179" i="2" s="1"/>
  <c r="AA155" i="2"/>
  <c r="AA203" i="2" s="1"/>
  <c r="AA131" i="2"/>
  <c r="AA179" i="2" s="1"/>
  <c r="AE155" i="2"/>
  <c r="AE203" i="2" s="1"/>
  <c r="AE131" i="2"/>
  <c r="AE179" i="2" s="1"/>
  <c r="AI155" i="2"/>
  <c r="AI203" i="2" s="1"/>
  <c r="AI131" i="2"/>
  <c r="AI179" i="2" s="1"/>
  <c r="AM155" i="2"/>
  <c r="AM203" i="2" s="1"/>
  <c r="AM131" i="2"/>
  <c r="AM179" i="2" s="1"/>
  <c r="AQ155" i="2"/>
  <c r="AQ203" i="2" s="1"/>
  <c r="AQ131" i="2"/>
  <c r="AQ179" i="2" s="1"/>
  <c r="AU155" i="2"/>
  <c r="AU203" i="2" s="1"/>
  <c r="AU131" i="2"/>
  <c r="AU179" i="2" s="1"/>
  <c r="AY155" i="2"/>
  <c r="AY203" i="2" s="1"/>
  <c r="AY131" i="2"/>
  <c r="AY179" i="2" s="1"/>
  <c r="BC155" i="2"/>
  <c r="BC203" i="2" s="1"/>
  <c r="BC131" i="2"/>
  <c r="BC179" i="2" s="1"/>
  <c r="BG155" i="2"/>
  <c r="BG203" i="2" s="1"/>
  <c r="BG131" i="2"/>
  <c r="BG179" i="2" s="1"/>
  <c r="BK155" i="2"/>
  <c r="BK203" i="2" s="1"/>
  <c r="BK131" i="2"/>
  <c r="BK179" i="2" s="1"/>
  <c r="BO155" i="2"/>
  <c r="BO203" i="2" s="1"/>
  <c r="BO131" i="2"/>
  <c r="BO179" i="2" s="1"/>
  <c r="BS155" i="2"/>
  <c r="BS203" i="2" s="1"/>
  <c r="BS131" i="2"/>
  <c r="BS179" i="2" s="1"/>
  <c r="BW155" i="2"/>
  <c r="BW203" i="2" s="1"/>
  <c r="BW131" i="2"/>
  <c r="BW179" i="2" s="1"/>
  <c r="CA155" i="2"/>
  <c r="CA203" i="2" s="1"/>
  <c r="CA131" i="2"/>
  <c r="CA179" i="2" s="1"/>
  <c r="CE155" i="2"/>
  <c r="CE203" i="2" s="1"/>
  <c r="CE131" i="2"/>
  <c r="CE179" i="2" s="1"/>
  <c r="CI155" i="2"/>
  <c r="CI203" i="2" s="1"/>
  <c r="CI131" i="2"/>
  <c r="CI179" i="2" s="1"/>
  <c r="CM155" i="2"/>
  <c r="CM203" i="2" s="1"/>
  <c r="CM131" i="2"/>
  <c r="CM179" i="2" s="1"/>
  <c r="CQ155" i="2"/>
  <c r="CQ203" i="2" s="1"/>
  <c r="CQ131" i="2"/>
  <c r="CQ179" i="2" s="1"/>
  <c r="CU155" i="2"/>
  <c r="CU203" i="2" s="1"/>
  <c r="CU131" i="2"/>
  <c r="CU179" i="2" s="1"/>
  <c r="CY155" i="2"/>
  <c r="CY203" i="2" s="1"/>
  <c r="CY131" i="2"/>
  <c r="CY179" i="2" s="1"/>
  <c r="F156" i="2"/>
  <c r="F204" i="2" s="1"/>
  <c r="F132" i="2"/>
  <c r="F180" i="2" s="1"/>
  <c r="J156" i="2"/>
  <c r="J204" i="2" s="1"/>
  <c r="J132" i="2"/>
  <c r="J180" i="2" s="1"/>
  <c r="N156" i="2"/>
  <c r="N204" i="2" s="1"/>
  <c r="N132" i="2"/>
  <c r="N180" i="2" s="1"/>
  <c r="R156" i="2"/>
  <c r="R204" i="2" s="1"/>
  <c r="R132" i="2"/>
  <c r="R180" i="2" s="1"/>
  <c r="V156" i="2"/>
  <c r="V204" i="2" s="1"/>
  <c r="V132" i="2"/>
  <c r="V180" i="2" s="1"/>
  <c r="Z156" i="2"/>
  <c r="Z204" i="2" s="1"/>
  <c r="Z132" i="2"/>
  <c r="Z180" i="2" s="1"/>
  <c r="AD156" i="2"/>
  <c r="AD204" i="2" s="1"/>
  <c r="AD132" i="2"/>
  <c r="AD180" i="2" s="1"/>
  <c r="AH156" i="2"/>
  <c r="AH204" i="2" s="1"/>
  <c r="AH132" i="2"/>
  <c r="AH180" i="2" s="1"/>
  <c r="AL156" i="2"/>
  <c r="AL204" i="2" s="1"/>
  <c r="AL132" i="2"/>
  <c r="AL180" i="2" s="1"/>
  <c r="AP156" i="2"/>
  <c r="AP204" i="2" s="1"/>
  <c r="AP132" i="2"/>
  <c r="AP180" i="2" s="1"/>
  <c r="AT156" i="2"/>
  <c r="AT204" i="2" s="1"/>
  <c r="AT132" i="2"/>
  <c r="AT180" i="2" s="1"/>
  <c r="AX156" i="2"/>
  <c r="AX204" i="2" s="1"/>
  <c r="AX132" i="2"/>
  <c r="AX180" i="2" s="1"/>
  <c r="BB156" i="2"/>
  <c r="BB204" i="2" s="1"/>
  <c r="BB132" i="2"/>
  <c r="BB180" i="2" s="1"/>
  <c r="BF156" i="2"/>
  <c r="BF204" i="2" s="1"/>
  <c r="BF132" i="2"/>
  <c r="BF180" i="2" s="1"/>
  <c r="BJ156" i="2"/>
  <c r="BJ204" i="2" s="1"/>
  <c r="BJ132" i="2"/>
  <c r="BJ180" i="2" s="1"/>
  <c r="BN156" i="2"/>
  <c r="BN204" i="2" s="1"/>
  <c r="BN132" i="2"/>
  <c r="BN180" i="2" s="1"/>
  <c r="BR156" i="2"/>
  <c r="BR204" i="2" s="1"/>
  <c r="BR132" i="2"/>
  <c r="BR180" i="2" s="1"/>
  <c r="BV156" i="2"/>
  <c r="BV204" i="2" s="1"/>
  <c r="BV132" i="2"/>
  <c r="BV180" i="2" s="1"/>
  <c r="BZ156" i="2"/>
  <c r="BZ204" i="2" s="1"/>
  <c r="BZ132" i="2"/>
  <c r="BZ180" i="2" s="1"/>
  <c r="CD156" i="2"/>
  <c r="CD132" i="2"/>
  <c r="CD180" i="2" s="1"/>
  <c r="CH156" i="2"/>
  <c r="CH204" i="2" s="1"/>
  <c r="CH132" i="2"/>
  <c r="CH180" i="2" s="1"/>
  <c r="CL156" i="2"/>
  <c r="CL204" i="2" s="1"/>
  <c r="CL132" i="2"/>
  <c r="CL180" i="2" s="1"/>
  <c r="CP156" i="2"/>
  <c r="CP132" i="2"/>
  <c r="CP180" i="2" s="1"/>
  <c r="CT156" i="2"/>
  <c r="CT204" i="2" s="1"/>
  <c r="CT132" i="2"/>
  <c r="CT180" i="2" s="1"/>
  <c r="CX156" i="2"/>
  <c r="CX204" i="2" s="1"/>
  <c r="CX132" i="2"/>
  <c r="CX180" i="2" s="1"/>
  <c r="E157" i="2"/>
  <c r="E205" i="2" s="1"/>
  <c r="E133" i="2"/>
  <c r="E181" i="2" s="1"/>
  <c r="I157" i="2"/>
  <c r="I205" i="2" s="1"/>
  <c r="I133" i="2"/>
  <c r="I181" i="2" s="1"/>
  <c r="M157" i="2"/>
  <c r="M205" i="2" s="1"/>
  <c r="M133" i="2"/>
  <c r="M181" i="2" s="1"/>
  <c r="Q157" i="2"/>
  <c r="Q205" i="2" s="1"/>
  <c r="Q133" i="2"/>
  <c r="Q181" i="2" s="1"/>
  <c r="U157" i="2"/>
  <c r="U205" i="2" s="1"/>
  <c r="U133" i="2"/>
  <c r="U181" i="2" s="1"/>
  <c r="Y157" i="2"/>
  <c r="Y205" i="2" s="1"/>
  <c r="Y133" i="2"/>
  <c r="Y181" i="2" s="1"/>
  <c r="AC157" i="2"/>
  <c r="AC205" i="2" s="1"/>
  <c r="AC133" i="2"/>
  <c r="AC181" i="2" s="1"/>
  <c r="AG157" i="2"/>
  <c r="AG205" i="2" s="1"/>
  <c r="AG133" i="2"/>
  <c r="AG181" i="2" s="1"/>
  <c r="AK157" i="2"/>
  <c r="AK205" i="2" s="1"/>
  <c r="AK133" i="2"/>
  <c r="AK181" i="2" s="1"/>
  <c r="AO157" i="2"/>
  <c r="AO205" i="2" s="1"/>
  <c r="AO133" i="2"/>
  <c r="AO181" i="2" s="1"/>
  <c r="AS157" i="2"/>
  <c r="AS205" i="2" s="1"/>
  <c r="AS133" i="2"/>
  <c r="AS181" i="2" s="1"/>
  <c r="AW157" i="2"/>
  <c r="AW205" i="2" s="1"/>
  <c r="AW133" i="2"/>
  <c r="AW181" i="2" s="1"/>
  <c r="BA157" i="2"/>
  <c r="BA205" i="2" s="1"/>
  <c r="BA133" i="2"/>
  <c r="BA181" i="2" s="1"/>
  <c r="BE157" i="2"/>
  <c r="BE205" i="2" s="1"/>
  <c r="BE133" i="2"/>
  <c r="BE181" i="2" s="1"/>
  <c r="BI157" i="2"/>
  <c r="BI205" i="2" s="1"/>
  <c r="BI133" i="2"/>
  <c r="BI181" i="2" s="1"/>
  <c r="BM157" i="2"/>
  <c r="BM205" i="2" s="1"/>
  <c r="BM133" i="2"/>
  <c r="BM181" i="2" s="1"/>
  <c r="BQ157" i="2"/>
  <c r="BQ205" i="2" s="1"/>
  <c r="BQ133" i="2"/>
  <c r="BQ181" i="2" s="1"/>
  <c r="BU157" i="2"/>
  <c r="BU205" i="2" s="1"/>
  <c r="BU133" i="2"/>
  <c r="BU181" i="2" s="1"/>
  <c r="BY157" i="2"/>
  <c r="BY205" i="2" s="1"/>
  <c r="BY133" i="2"/>
  <c r="BY181" i="2" s="1"/>
  <c r="CC157" i="2"/>
  <c r="CC205" i="2" s="1"/>
  <c r="CC133" i="2"/>
  <c r="CC181" i="2" s="1"/>
  <c r="CG157" i="2"/>
  <c r="CG205" i="2" s="1"/>
  <c r="CG133" i="2"/>
  <c r="CG181" i="2" s="1"/>
  <c r="CK157" i="2"/>
  <c r="CK205" i="2" s="1"/>
  <c r="CK133" i="2"/>
  <c r="CK181" i="2" s="1"/>
  <c r="CO157" i="2"/>
  <c r="CO133" i="2"/>
  <c r="CO181" i="2" s="1"/>
  <c r="CS157" i="2"/>
  <c r="CS133" i="2"/>
  <c r="CS181" i="2" s="1"/>
  <c r="CW157" i="2"/>
  <c r="CW205" i="2" s="1"/>
  <c r="CW133" i="2"/>
  <c r="CW181" i="2" s="1"/>
  <c r="D158" i="2"/>
  <c r="D206" i="2" s="1"/>
  <c r="D134" i="2"/>
  <c r="D182" i="2" s="1"/>
  <c r="H158" i="2"/>
  <c r="H206" i="2" s="1"/>
  <c r="H134" i="2"/>
  <c r="H182" i="2" s="1"/>
  <c r="L158" i="2"/>
  <c r="L206" i="2" s="1"/>
  <c r="L134" i="2"/>
  <c r="L182" i="2" s="1"/>
  <c r="P158" i="2"/>
  <c r="P206" i="2" s="1"/>
  <c r="P134" i="2"/>
  <c r="P182" i="2" s="1"/>
  <c r="T158" i="2"/>
  <c r="T206" i="2" s="1"/>
  <c r="T134" i="2"/>
  <c r="T182" i="2" s="1"/>
  <c r="X158" i="2"/>
  <c r="X206" i="2" s="1"/>
  <c r="X134" i="2"/>
  <c r="X182" i="2" s="1"/>
  <c r="AB158" i="2"/>
  <c r="AB206" i="2" s="1"/>
  <c r="AB134" i="2"/>
  <c r="AB182" i="2" s="1"/>
  <c r="AF158" i="2"/>
  <c r="AF206" i="2" s="1"/>
  <c r="AF134" i="2"/>
  <c r="AF182" i="2" s="1"/>
  <c r="AJ158" i="2"/>
  <c r="AJ206" i="2" s="1"/>
  <c r="AJ134" i="2"/>
  <c r="AJ182" i="2" s="1"/>
  <c r="AN158" i="2"/>
  <c r="AN206" i="2" s="1"/>
  <c r="AN134" i="2"/>
  <c r="AN182" i="2" s="1"/>
  <c r="AR158" i="2"/>
  <c r="AR206" i="2" s="1"/>
  <c r="AR134" i="2"/>
  <c r="AR182" i="2" s="1"/>
  <c r="AV158" i="2"/>
  <c r="AV206" i="2" s="1"/>
  <c r="AV134" i="2"/>
  <c r="AV182" i="2" s="1"/>
  <c r="AZ158" i="2"/>
  <c r="AZ206" i="2" s="1"/>
  <c r="AZ134" i="2"/>
  <c r="AZ182" i="2" s="1"/>
  <c r="BD158" i="2"/>
  <c r="BD206" i="2" s="1"/>
  <c r="BD134" i="2"/>
  <c r="BD182" i="2" s="1"/>
  <c r="BH158" i="2"/>
  <c r="BH206" i="2" s="1"/>
  <c r="BH134" i="2"/>
  <c r="BH182" i="2" s="1"/>
  <c r="BL158" i="2"/>
  <c r="BL206" i="2" s="1"/>
  <c r="BL134" i="2"/>
  <c r="BL182" i="2" s="1"/>
  <c r="BP158" i="2"/>
  <c r="BP206" i="2" s="1"/>
  <c r="BP134" i="2"/>
  <c r="BP182" i="2" s="1"/>
  <c r="BT158" i="2"/>
  <c r="BT206" i="2" s="1"/>
  <c r="BT134" i="2"/>
  <c r="BT182" i="2" s="1"/>
  <c r="BX158" i="2"/>
  <c r="BX206" i="2" s="1"/>
  <c r="BX134" i="2"/>
  <c r="BX182" i="2" s="1"/>
  <c r="CB158" i="2"/>
  <c r="CB206" i="2" s="1"/>
  <c r="CB134" i="2"/>
  <c r="CB182" i="2" s="1"/>
  <c r="CF158" i="2"/>
  <c r="CF206" i="2" s="1"/>
  <c r="CF134" i="2"/>
  <c r="CF182" i="2" s="1"/>
  <c r="CJ158" i="2"/>
  <c r="CJ206" i="2" s="1"/>
  <c r="CJ134" i="2"/>
  <c r="CJ182" i="2" s="1"/>
  <c r="CN158" i="2"/>
  <c r="CN206" i="2" s="1"/>
  <c r="CN134" i="2"/>
  <c r="CN182" i="2" s="1"/>
  <c r="CR158" i="2"/>
  <c r="CR206" i="2" s="1"/>
  <c r="CR134" i="2"/>
  <c r="CR182" i="2" s="1"/>
  <c r="CV158" i="2"/>
  <c r="CV206" i="2" s="1"/>
  <c r="CV134" i="2"/>
  <c r="CV182" i="2" s="1"/>
  <c r="C159" i="2"/>
  <c r="C135" i="2"/>
  <c r="C183" i="2" s="1"/>
  <c r="G159" i="2"/>
  <c r="G207" i="2" s="1"/>
  <c r="G135" i="2"/>
  <c r="G183" i="2" s="1"/>
  <c r="K159" i="2"/>
  <c r="K207" i="2" s="1"/>
  <c r="K135" i="2"/>
  <c r="K183" i="2" s="1"/>
  <c r="O159" i="2"/>
  <c r="O207" i="2" s="1"/>
  <c r="O135" i="2"/>
  <c r="O183" i="2" s="1"/>
  <c r="S159" i="2"/>
  <c r="S207" i="2" s="1"/>
  <c r="S135" i="2"/>
  <c r="S183" i="2" s="1"/>
  <c r="W159" i="2"/>
  <c r="W207" i="2" s="1"/>
  <c r="W135" i="2"/>
  <c r="W183" i="2" s="1"/>
  <c r="AA159" i="2"/>
  <c r="AA207" i="2" s="1"/>
  <c r="AA135" i="2"/>
  <c r="AA183" i="2" s="1"/>
  <c r="AE159" i="2"/>
  <c r="AE207" i="2" s="1"/>
  <c r="AE135" i="2"/>
  <c r="AE183" i="2" s="1"/>
  <c r="AI159" i="2"/>
  <c r="AI207" i="2" s="1"/>
  <c r="AI135" i="2"/>
  <c r="AI183" i="2" s="1"/>
  <c r="AM159" i="2"/>
  <c r="AM207" i="2" s="1"/>
  <c r="AM135" i="2"/>
  <c r="AM183" i="2" s="1"/>
  <c r="AQ159" i="2"/>
  <c r="AQ207" i="2" s="1"/>
  <c r="AQ135" i="2"/>
  <c r="AQ183" i="2" s="1"/>
  <c r="AU159" i="2"/>
  <c r="AU207" i="2" s="1"/>
  <c r="AU135" i="2"/>
  <c r="AU183" i="2" s="1"/>
  <c r="AY159" i="2"/>
  <c r="AY207" i="2" s="1"/>
  <c r="AY135" i="2"/>
  <c r="AY183" i="2" s="1"/>
  <c r="BC159" i="2"/>
  <c r="BC207" i="2" s="1"/>
  <c r="BC135" i="2"/>
  <c r="BC183" i="2" s="1"/>
  <c r="BG159" i="2"/>
  <c r="BG207" i="2" s="1"/>
  <c r="BG135" i="2"/>
  <c r="BG183" i="2" s="1"/>
  <c r="BK159" i="2"/>
  <c r="BK207" i="2" s="1"/>
  <c r="BK135" i="2"/>
  <c r="BK183" i="2" s="1"/>
  <c r="BO159" i="2"/>
  <c r="BO207" i="2" s="1"/>
  <c r="BO135" i="2"/>
  <c r="BO183" i="2" s="1"/>
  <c r="BS159" i="2"/>
  <c r="BS207" i="2" s="1"/>
  <c r="BS135" i="2"/>
  <c r="BS183" i="2" s="1"/>
  <c r="BW159" i="2"/>
  <c r="BW207" i="2" s="1"/>
  <c r="BW135" i="2"/>
  <c r="BW183" i="2" s="1"/>
  <c r="CA159" i="2"/>
  <c r="CA207" i="2" s="1"/>
  <c r="CA135" i="2"/>
  <c r="CA183" i="2" s="1"/>
  <c r="CE159" i="2"/>
  <c r="CE207" i="2" s="1"/>
  <c r="CE135" i="2"/>
  <c r="CE183" i="2" s="1"/>
  <c r="CI159" i="2"/>
  <c r="CI207" i="2" s="1"/>
  <c r="CI135" i="2"/>
  <c r="CI183" i="2" s="1"/>
  <c r="CM159" i="2"/>
  <c r="CM207" i="2" s="1"/>
  <c r="CM135" i="2"/>
  <c r="CM183" i="2" s="1"/>
  <c r="CQ159" i="2"/>
  <c r="CQ135" i="2"/>
  <c r="CQ183" i="2" s="1"/>
  <c r="CU159" i="2"/>
  <c r="CU135" i="2"/>
  <c r="CU183" i="2" s="1"/>
  <c r="CY159" i="2"/>
  <c r="CY207" i="2" s="1"/>
  <c r="CY135" i="2"/>
  <c r="CY183" i="2" s="1"/>
  <c r="F160" i="2"/>
  <c r="F208" i="2" s="1"/>
  <c r="F136" i="2"/>
  <c r="F184" i="2" s="1"/>
  <c r="J160" i="2"/>
  <c r="J208" i="2" s="1"/>
  <c r="J136" i="2"/>
  <c r="J184" i="2" s="1"/>
  <c r="N160" i="2"/>
  <c r="N208" i="2" s="1"/>
  <c r="N136" i="2"/>
  <c r="N184" i="2" s="1"/>
  <c r="R160" i="2"/>
  <c r="R208" i="2" s="1"/>
  <c r="R136" i="2"/>
  <c r="R184" i="2" s="1"/>
  <c r="V160" i="2"/>
  <c r="V208" i="2" s="1"/>
  <c r="V136" i="2"/>
  <c r="V184" i="2" s="1"/>
  <c r="Z160" i="2"/>
  <c r="Z208" i="2" s="1"/>
  <c r="Z136" i="2"/>
  <c r="Z184" i="2" s="1"/>
  <c r="AD160" i="2"/>
  <c r="AD208" i="2" s="1"/>
  <c r="AD136" i="2"/>
  <c r="AD184" i="2" s="1"/>
  <c r="AH160" i="2"/>
  <c r="AH208" i="2" s="1"/>
  <c r="AH136" i="2"/>
  <c r="AH184" i="2" s="1"/>
  <c r="AL160" i="2"/>
  <c r="AL208" i="2" s="1"/>
  <c r="AL136" i="2"/>
  <c r="AL184" i="2" s="1"/>
  <c r="AP160" i="2"/>
  <c r="AP208" i="2" s="1"/>
  <c r="AP136" i="2"/>
  <c r="AP184" i="2" s="1"/>
  <c r="AT160" i="2"/>
  <c r="AT208" i="2" s="1"/>
  <c r="AT136" i="2"/>
  <c r="AT184" i="2" s="1"/>
  <c r="AX160" i="2"/>
  <c r="AX208" i="2" s="1"/>
  <c r="AX136" i="2"/>
  <c r="AX184" i="2" s="1"/>
  <c r="BB160" i="2"/>
  <c r="BB208" i="2" s="1"/>
  <c r="BB136" i="2"/>
  <c r="BB184" i="2" s="1"/>
  <c r="BF160" i="2"/>
  <c r="BF208" i="2" s="1"/>
  <c r="BF136" i="2"/>
  <c r="BF184" i="2" s="1"/>
  <c r="BJ160" i="2"/>
  <c r="BJ208" i="2" s="1"/>
  <c r="BJ136" i="2"/>
  <c r="BJ184" i="2" s="1"/>
  <c r="BN160" i="2"/>
  <c r="BN208" i="2" s="1"/>
  <c r="BN136" i="2"/>
  <c r="BN184" i="2" s="1"/>
  <c r="BR160" i="2"/>
  <c r="BR208" i="2" s="1"/>
  <c r="BR136" i="2"/>
  <c r="BR184" i="2" s="1"/>
  <c r="BV160" i="2"/>
  <c r="BV208" i="2" s="1"/>
  <c r="BV136" i="2"/>
  <c r="BV184" i="2" s="1"/>
  <c r="BZ160" i="2"/>
  <c r="BZ208" i="2" s="1"/>
  <c r="BZ136" i="2"/>
  <c r="BZ184" i="2" s="1"/>
  <c r="CD160" i="2"/>
  <c r="CD208" i="2" s="1"/>
  <c r="CD136" i="2"/>
  <c r="CD184" i="2" s="1"/>
  <c r="CH160" i="2"/>
  <c r="CH208" i="2" s="1"/>
  <c r="CH136" i="2"/>
  <c r="CH184" i="2" s="1"/>
  <c r="CL160" i="2"/>
  <c r="CL208" i="2" s="1"/>
  <c r="CL136" i="2"/>
  <c r="CL184" i="2" s="1"/>
  <c r="CP160" i="2"/>
  <c r="CP208" i="2" s="1"/>
  <c r="CP136" i="2"/>
  <c r="CP184" i="2" s="1"/>
  <c r="CT160" i="2"/>
  <c r="CT136" i="2"/>
  <c r="CT184" i="2" s="1"/>
  <c r="CX160" i="2"/>
  <c r="CX208" i="2" s="1"/>
  <c r="CX136" i="2"/>
  <c r="CX184" i="2" s="1"/>
  <c r="E161" i="2"/>
  <c r="E209" i="2" s="1"/>
  <c r="E137" i="2"/>
  <c r="E185" i="2" s="1"/>
  <c r="I161" i="2"/>
  <c r="I209" i="2" s="1"/>
  <c r="I137" i="2"/>
  <c r="I185" i="2" s="1"/>
  <c r="M161" i="2"/>
  <c r="M209" i="2" s="1"/>
  <c r="M137" i="2"/>
  <c r="M185" i="2" s="1"/>
  <c r="Q161" i="2"/>
  <c r="Q209" i="2" s="1"/>
  <c r="Q137" i="2"/>
  <c r="Q185" i="2" s="1"/>
  <c r="U161" i="2"/>
  <c r="U209" i="2" s="1"/>
  <c r="U137" i="2"/>
  <c r="U185" i="2" s="1"/>
  <c r="Y161" i="2"/>
  <c r="Y209" i="2" s="1"/>
  <c r="Y137" i="2"/>
  <c r="Y185" i="2" s="1"/>
  <c r="AC161" i="2"/>
  <c r="AC209" i="2" s="1"/>
  <c r="AC137" i="2"/>
  <c r="AC185" i="2" s="1"/>
  <c r="AG161" i="2"/>
  <c r="AG209" i="2" s="1"/>
  <c r="AG137" i="2"/>
  <c r="AG185" i="2" s="1"/>
  <c r="AK161" i="2"/>
  <c r="AK209" i="2" s="1"/>
  <c r="AK137" i="2"/>
  <c r="AK185" i="2" s="1"/>
  <c r="AO161" i="2"/>
  <c r="AO209" i="2" s="1"/>
  <c r="AO137" i="2"/>
  <c r="AO185" i="2" s="1"/>
  <c r="AS161" i="2"/>
  <c r="AS209" i="2" s="1"/>
  <c r="AS137" i="2"/>
  <c r="AS185" i="2" s="1"/>
  <c r="AW161" i="2"/>
  <c r="AW209" i="2" s="1"/>
  <c r="AW137" i="2"/>
  <c r="AW185" i="2" s="1"/>
  <c r="BA161" i="2"/>
  <c r="BA209" i="2" s="1"/>
  <c r="BA137" i="2"/>
  <c r="BA185" i="2" s="1"/>
  <c r="BE161" i="2"/>
  <c r="BE209" i="2" s="1"/>
  <c r="BE137" i="2"/>
  <c r="BE185" i="2" s="1"/>
  <c r="BI161" i="2"/>
  <c r="BI209" i="2" s="1"/>
  <c r="BI137" i="2"/>
  <c r="BI185" i="2" s="1"/>
  <c r="BM161" i="2"/>
  <c r="BM209" i="2" s="1"/>
  <c r="BM137" i="2"/>
  <c r="BM185" i="2" s="1"/>
  <c r="BQ161" i="2"/>
  <c r="BQ209" i="2" s="1"/>
  <c r="BQ137" i="2"/>
  <c r="BQ185" i="2" s="1"/>
  <c r="BU161" i="2"/>
  <c r="BU209" i="2" s="1"/>
  <c r="BU137" i="2"/>
  <c r="BU185" i="2" s="1"/>
  <c r="BY161" i="2"/>
  <c r="BY209" i="2" s="1"/>
  <c r="BY137" i="2"/>
  <c r="BY185" i="2" s="1"/>
  <c r="CC161" i="2"/>
  <c r="CC209" i="2" s="1"/>
  <c r="CC137" i="2"/>
  <c r="CC185" i="2" s="1"/>
  <c r="CG161" i="2"/>
  <c r="CG209" i="2" s="1"/>
  <c r="CG137" i="2"/>
  <c r="CG185" i="2" s="1"/>
  <c r="CK161" i="2"/>
  <c r="CK209" i="2" s="1"/>
  <c r="CK137" i="2"/>
  <c r="CK185" i="2" s="1"/>
  <c r="CO161" i="2"/>
  <c r="CO209" i="2" s="1"/>
  <c r="CO137" i="2"/>
  <c r="CO185" i="2" s="1"/>
  <c r="CS161" i="2"/>
  <c r="CS209" i="2" s="1"/>
  <c r="CS137" i="2"/>
  <c r="CS185" i="2" s="1"/>
  <c r="CW161" i="2"/>
  <c r="CW209" i="2" s="1"/>
  <c r="CW137" i="2"/>
  <c r="CW185" i="2" s="1"/>
  <c r="D162" i="2"/>
  <c r="D210" i="2" s="1"/>
  <c r="D138" i="2"/>
  <c r="D186" i="2" s="1"/>
  <c r="H162" i="2"/>
  <c r="H210" i="2" s="1"/>
  <c r="H138" i="2"/>
  <c r="H186" i="2" s="1"/>
  <c r="L162" i="2"/>
  <c r="L210" i="2" s="1"/>
  <c r="L138" i="2"/>
  <c r="L186" i="2" s="1"/>
  <c r="P162" i="2"/>
  <c r="P210" i="2" s="1"/>
  <c r="P138" i="2"/>
  <c r="P186" i="2" s="1"/>
  <c r="T162" i="2"/>
  <c r="T210" i="2" s="1"/>
  <c r="T138" i="2"/>
  <c r="T186" i="2" s="1"/>
  <c r="X162" i="2"/>
  <c r="X210" i="2" s="1"/>
  <c r="X138" i="2"/>
  <c r="X186" i="2" s="1"/>
  <c r="AB162" i="2"/>
  <c r="AB210" i="2" s="1"/>
  <c r="AB138" i="2"/>
  <c r="AB186" i="2" s="1"/>
  <c r="AF162" i="2"/>
  <c r="AF210" i="2" s="1"/>
  <c r="AF138" i="2"/>
  <c r="AF186" i="2" s="1"/>
  <c r="AJ162" i="2"/>
  <c r="AJ210" i="2" s="1"/>
  <c r="AJ138" i="2"/>
  <c r="AJ186" i="2" s="1"/>
  <c r="AN162" i="2"/>
  <c r="AN210" i="2" s="1"/>
  <c r="AN138" i="2"/>
  <c r="AN186" i="2" s="1"/>
  <c r="AR162" i="2"/>
  <c r="AR210" i="2" s="1"/>
  <c r="AR138" i="2"/>
  <c r="AR186" i="2" s="1"/>
  <c r="AV162" i="2"/>
  <c r="AV210" i="2" s="1"/>
  <c r="AV138" i="2"/>
  <c r="AV186" i="2" s="1"/>
  <c r="AZ162" i="2"/>
  <c r="AZ210" i="2" s="1"/>
  <c r="AZ138" i="2"/>
  <c r="AZ186" i="2" s="1"/>
  <c r="BD162" i="2"/>
  <c r="BD210" i="2" s="1"/>
  <c r="BD138" i="2"/>
  <c r="BD186" i="2" s="1"/>
  <c r="BH162" i="2"/>
  <c r="BH210" i="2" s="1"/>
  <c r="BH138" i="2"/>
  <c r="BH186" i="2" s="1"/>
  <c r="BL162" i="2"/>
  <c r="BL210" i="2" s="1"/>
  <c r="BL138" i="2"/>
  <c r="BL186" i="2" s="1"/>
  <c r="BP162" i="2"/>
  <c r="BP210" i="2" s="1"/>
  <c r="BP138" i="2"/>
  <c r="BP186" i="2" s="1"/>
  <c r="BT162" i="2"/>
  <c r="BT210" i="2" s="1"/>
  <c r="BT138" i="2"/>
  <c r="BT186" i="2" s="1"/>
  <c r="BX162" i="2"/>
  <c r="BX210" i="2" s="1"/>
  <c r="BX138" i="2"/>
  <c r="BX186" i="2" s="1"/>
  <c r="CB162" i="2"/>
  <c r="CB210" i="2" s="1"/>
  <c r="CB138" i="2"/>
  <c r="CB186" i="2" s="1"/>
  <c r="CF162" i="2"/>
  <c r="CF210" i="2" s="1"/>
  <c r="CF138" i="2"/>
  <c r="CF186" i="2" s="1"/>
  <c r="CJ162" i="2"/>
  <c r="CJ210" i="2" s="1"/>
  <c r="CJ138" i="2"/>
  <c r="CJ186" i="2" s="1"/>
  <c r="CN162" i="2"/>
  <c r="CN138" i="2"/>
  <c r="CN186" i="2" s="1"/>
  <c r="CR162" i="2"/>
  <c r="CR138" i="2"/>
  <c r="CR186" i="2" s="1"/>
  <c r="CV162" i="2"/>
  <c r="CV210" i="2" s="1"/>
  <c r="CV138" i="2"/>
  <c r="CV186" i="2" s="1"/>
  <c r="C163" i="2"/>
  <c r="C139" i="2"/>
  <c r="C187" i="2" s="1"/>
  <c r="G163" i="2"/>
  <c r="G211" i="2" s="1"/>
  <c r="G139" i="2"/>
  <c r="G187" i="2" s="1"/>
  <c r="K163" i="2"/>
  <c r="K211" i="2" s="1"/>
  <c r="K139" i="2"/>
  <c r="K187" i="2" s="1"/>
  <c r="O163" i="2"/>
  <c r="O211" i="2" s="1"/>
  <c r="O139" i="2"/>
  <c r="O187" i="2" s="1"/>
  <c r="S163" i="2"/>
  <c r="S211" i="2" s="1"/>
  <c r="S139" i="2"/>
  <c r="S187" i="2" s="1"/>
  <c r="W163" i="2"/>
  <c r="W211" i="2" s="1"/>
  <c r="W139" i="2"/>
  <c r="W187" i="2" s="1"/>
  <c r="AA163" i="2"/>
  <c r="AA211" i="2" s="1"/>
  <c r="AA139" i="2"/>
  <c r="AA187" i="2" s="1"/>
  <c r="AE163" i="2"/>
  <c r="AE211" i="2" s="1"/>
  <c r="AE139" i="2"/>
  <c r="AE187" i="2" s="1"/>
  <c r="AI163" i="2"/>
  <c r="AI211" i="2" s="1"/>
  <c r="AI139" i="2"/>
  <c r="AI187" i="2" s="1"/>
  <c r="AM163" i="2"/>
  <c r="AM211" i="2" s="1"/>
  <c r="AM139" i="2"/>
  <c r="AM187" i="2" s="1"/>
  <c r="AQ163" i="2"/>
  <c r="AQ211" i="2" s="1"/>
  <c r="AQ139" i="2"/>
  <c r="AQ187" i="2" s="1"/>
  <c r="AU163" i="2"/>
  <c r="AU211" i="2" s="1"/>
  <c r="AU139" i="2"/>
  <c r="AU187" i="2" s="1"/>
  <c r="AY163" i="2"/>
  <c r="AY211" i="2" s="1"/>
  <c r="AY139" i="2"/>
  <c r="AY187" i="2" s="1"/>
  <c r="BC163" i="2"/>
  <c r="BC211" i="2" s="1"/>
  <c r="BC139" i="2"/>
  <c r="BC187" i="2" s="1"/>
  <c r="BG163" i="2"/>
  <c r="BG211" i="2" s="1"/>
  <c r="BG139" i="2"/>
  <c r="BG187" i="2" s="1"/>
  <c r="BK163" i="2"/>
  <c r="BK211" i="2" s="1"/>
  <c r="BK139" i="2"/>
  <c r="BK187" i="2" s="1"/>
  <c r="BO163" i="2"/>
  <c r="BO211" i="2" s="1"/>
  <c r="BO139" i="2"/>
  <c r="BO187" i="2" s="1"/>
  <c r="BS163" i="2"/>
  <c r="BS211" i="2" s="1"/>
  <c r="BS139" i="2"/>
  <c r="BS187" i="2" s="1"/>
  <c r="BW163" i="2"/>
  <c r="BW211" i="2" s="1"/>
  <c r="BW139" i="2"/>
  <c r="BW187" i="2" s="1"/>
  <c r="CA163" i="2"/>
  <c r="CA211" i="2" s="1"/>
  <c r="CA139" i="2"/>
  <c r="CA187" i="2" s="1"/>
  <c r="CE163" i="2"/>
  <c r="CE211" i="2" s="1"/>
  <c r="CE139" i="2"/>
  <c r="CE187" i="2" s="1"/>
  <c r="CI163" i="2"/>
  <c r="CI211" i="2" s="1"/>
  <c r="CI139" i="2"/>
  <c r="CI187" i="2" s="1"/>
  <c r="CM163" i="2"/>
  <c r="CM211" i="2" s="1"/>
  <c r="CM139" i="2"/>
  <c r="CM187" i="2" s="1"/>
  <c r="CQ163" i="2"/>
  <c r="CQ211" i="2" s="1"/>
  <c r="CQ139" i="2"/>
  <c r="CQ187" i="2" s="1"/>
  <c r="CU163" i="2"/>
  <c r="CU139" i="2"/>
  <c r="CU187" i="2" s="1"/>
  <c r="CY163" i="2"/>
  <c r="CY211" i="2" s="1"/>
  <c r="CY139" i="2"/>
  <c r="CY187" i="2" s="1"/>
  <c r="F164" i="2"/>
  <c r="F212" i="2" s="1"/>
  <c r="F140" i="2"/>
  <c r="F188" i="2" s="1"/>
  <c r="J164" i="2"/>
  <c r="J212" i="2" s="1"/>
  <c r="J140" i="2"/>
  <c r="J188" i="2" s="1"/>
  <c r="N164" i="2"/>
  <c r="N212" i="2" s="1"/>
  <c r="N140" i="2"/>
  <c r="N188" i="2" s="1"/>
  <c r="R164" i="2"/>
  <c r="R212" i="2" s="1"/>
  <c r="R140" i="2"/>
  <c r="R188" i="2" s="1"/>
  <c r="V164" i="2"/>
  <c r="V212" i="2" s="1"/>
  <c r="V140" i="2"/>
  <c r="V188" i="2" s="1"/>
  <c r="Z164" i="2"/>
  <c r="Z212" i="2" s="1"/>
  <c r="Z140" i="2"/>
  <c r="Z188" i="2" s="1"/>
  <c r="AD164" i="2"/>
  <c r="AD212" i="2" s="1"/>
  <c r="AD140" i="2"/>
  <c r="AD188" i="2" s="1"/>
  <c r="AH164" i="2"/>
  <c r="AH212" i="2" s="1"/>
  <c r="AH140" i="2"/>
  <c r="AH188" i="2" s="1"/>
  <c r="AL164" i="2"/>
  <c r="AL212" i="2" s="1"/>
  <c r="AL140" i="2"/>
  <c r="AL188" i="2" s="1"/>
  <c r="AP164" i="2"/>
  <c r="AP212" i="2" s="1"/>
  <c r="AP140" i="2"/>
  <c r="AP188" i="2" s="1"/>
  <c r="AT164" i="2"/>
  <c r="AT212" i="2" s="1"/>
  <c r="AT140" i="2"/>
  <c r="AT188" i="2" s="1"/>
  <c r="AX164" i="2"/>
  <c r="AX212" i="2" s="1"/>
  <c r="AX140" i="2"/>
  <c r="AX188" i="2" s="1"/>
  <c r="BB164" i="2"/>
  <c r="BB212" i="2" s="1"/>
  <c r="BB140" i="2"/>
  <c r="BB188" i="2" s="1"/>
  <c r="BF164" i="2"/>
  <c r="BF212" i="2" s="1"/>
  <c r="BF140" i="2"/>
  <c r="BF188" i="2" s="1"/>
  <c r="BJ164" i="2"/>
  <c r="BJ212" i="2" s="1"/>
  <c r="BJ140" i="2"/>
  <c r="BJ188" i="2" s="1"/>
  <c r="BN164" i="2"/>
  <c r="BN212" i="2" s="1"/>
  <c r="BN140" i="2"/>
  <c r="BN188" i="2" s="1"/>
  <c r="BR164" i="2"/>
  <c r="BR212" i="2" s="1"/>
  <c r="BR140" i="2"/>
  <c r="BR188" i="2" s="1"/>
  <c r="BV164" i="2"/>
  <c r="BV212" i="2" s="1"/>
  <c r="BV140" i="2"/>
  <c r="BV188" i="2" s="1"/>
  <c r="BZ164" i="2"/>
  <c r="BZ212" i="2" s="1"/>
  <c r="BZ140" i="2"/>
  <c r="BZ188" i="2" s="1"/>
  <c r="CD164" i="2"/>
  <c r="CD212" i="2" s="1"/>
  <c r="CD140" i="2"/>
  <c r="CD188" i="2" s="1"/>
  <c r="CH164" i="2"/>
  <c r="CH212" i="2" s="1"/>
  <c r="CH140" i="2"/>
  <c r="CH188" i="2" s="1"/>
  <c r="CL164" i="2"/>
  <c r="CL212" i="2" s="1"/>
  <c r="CL140" i="2"/>
  <c r="CL188" i="2" s="1"/>
  <c r="CP164" i="2"/>
  <c r="CP212" i="2" s="1"/>
  <c r="CP140" i="2"/>
  <c r="CP188" i="2" s="1"/>
  <c r="CT164" i="2"/>
  <c r="CT212" i="2" s="1"/>
  <c r="CT140" i="2"/>
  <c r="CT188" i="2" s="1"/>
  <c r="CX164" i="2"/>
  <c r="CX212" i="2" s="1"/>
  <c r="CX140" i="2"/>
  <c r="CX188" i="2" s="1"/>
  <c r="E165" i="2"/>
  <c r="E213" i="2" s="1"/>
  <c r="E141" i="2"/>
  <c r="E189" i="2" s="1"/>
  <c r="I165" i="2"/>
  <c r="I213" i="2" s="1"/>
  <c r="I141" i="2"/>
  <c r="I189" i="2" s="1"/>
  <c r="M165" i="2"/>
  <c r="M213" i="2" s="1"/>
  <c r="M141" i="2"/>
  <c r="M189" i="2" s="1"/>
  <c r="Q165" i="2"/>
  <c r="Q213" i="2" s="1"/>
  <c r="Q141" i="2"/>
  <c r="Q189" i="2" s="1"/>
  <c r="U165" i="2"/>
  <c r="U213" i="2" s="1"/>
  <c r="U141" i="2"/>
  <c r="U189" i="2" s="1"/>
  <c r="Y165" i="2"/>
  <c r="Y213" i="2" s="1"/>
  <c r="Y141" i="2"/>
  <c r="Y189" i="2" s="1"/>
  <c r="AC165" i="2"/>
  <c r="AC213" i="2" s="1"/>
  <c r="AC141" i="2"/>
  <c r="AC189" i="2" s="1"/>
  <c r="AG165" i="2"/>
  <c r="AG213" i="2" s="1"/>
  <c r="AG141" i="2"/>
  <c r="AG189" i="2" s="1"/>
  <c r="AK165" i="2"/>
  <c r="AK213" i="2" s="1"/>
  <c r="AK141" i="2"/>
  <c r="AK189" i="2" s="1"/>
  <c r="AO165" i="2"/>
  <c r="AO213" i="2" s="1"/>
  <c r="AO141" i="2"/>
  <c r="AO189" i="2" s="1"/>
  <c r="AS165" i="2"/>
  <c r="AS213" i="2" s="1"/>
  <c r="AS141" i="2"/>
  <c r="AS189" i="2" s="1"/>
  <c r="AW165" i="2"/>
  <c r="AW213" i="2" s="1"/>
  <c r="AW141" i="2"/>
  <c r="AW189" i="2" s="1"/>
  <c r="BA165" i="2"/>
  <c r="BA213" i="2" s="1"/>
  <c r="BA141" i="2"/>
  <c r="BA189" i="2" s="1"/>
  <c r="BE165" i="2"/>
  <c r="BE213" i="2" s="1"/>
  <c r="BE141" i="2"/>
  <c r="BE189" i="2" s="1"/>
  <c r="BI165" i="2"/>
  <c r="BI213" i="2" s="1"/>
  <c r="BI141" i="2"/>
  <c r="BI189" i="2" s="1"/>
  <c r="BM165" i="2"/>
  <c r="BM213" i="2" s="1"/>
  <c r="BM141" i="2"/>
  <c r="BM189" i="2" s="1"/>
  <c r="BQ165" i="2"/>
  <c r="BQ213" i="2" s="1"/>
  <c r="BQ141" i="2"/>
  <c r="BQ189" i="2" s="1"/>
  <c r="BU165" i="2"/>
  <c r="BU213" i="2" s="1"/>
  <c r="BU141" i="2"/>
  <c r="BU189" i="2" s="1"/>
  <c r="BY165" i="2"/>
  <c r="BY213" i="2" s="1"/>
  <c r="BY141" i="2"/>
  <c r="BY189" i="2" s="1"/>
  <c r="CC165" i="2"/>
  <c r="CC213" i="2" s="1"/>
  <c r="CC141" i="2"/>
  <c r="CC189" i="2" s="1"/>
  <c r="CG165" i="2"/>
  <c r="CG213" i="2" s="1"/>
  <c r="CG141" i="2"/>
  <c r="CG189" i="2" s="1"/>
  <c r="CK165" i="2"/>
  <c r="CK141" i="2"/>
  <c r="CK189" i="2" s="1"/>
  <c r="CO165" i="2"/>
  <c r="CO141" i="2"/>
  <c r="CO189" i="2" s="1"/>
  <c r="CS165" i="2"/>
  <c r="CS213" i="2" s="1"/>
  <c r="CS141" i="2"/>
  <c r="CS189" i="2" s="1"/>
  <c r="CW165" i="2"/>
  <c r="CW213" i="2" s="1"/>
  <c r="CW141" i="2"/>
  <c r="CW189" i="2" s="1"/>
  <c r="D166" i="2"/>
  <c r="D214" i="2" s="1"/>
  <c r="D142" i="2"/>
  <c r="D190" i="2" s="1"/>
  <c r="H166" i="2"/>
  <c r="H214" i="2" s="1"/>
  <c r="H142" i="2"/>
  <c r="H190" i="2" s="1"/>
  <c r="L166" i="2"/>
  <c r="L214" i="2" s="1"/>
  <c r="L142" i="2"/>
  <c r="L190" i="2" s="1"/>
  <c r="P166" i="2"/>
  <c r="P214" i="2" s="1"/>
  <c r="P142" i="2"/>
  <c r="P190" i="2" s="1"/>
  <c r="T166" i="2"/>
  <c r="T214" i="2" s="1"/>
  <c r="T142" i="2"/>
  <c r="T190" i="2" s="1"/>
  <c r="X166" i="2"/>
  <c r="X214" i="2" s="1"/>
  <c r="X142" i="2"/>
  <c r="X190" i="2" s="1"/>
  <c r="AB166" i="2"/>
  <c r="AB214" i="2" s="1"/>
  <c r="AB142" i="2"/>
  <c r="AB190" i="2" s="1"/>
  <c r="AF166" i="2"/>
  <c r="AF214" i="2" s="1"/>
  <c r="AF142" i="2"/>
  <c r="AF190" i="2" s="1"/>
  <c r="AJ166" i="2"/>
  <c r="AJ214" i="2" s="1"/>
  <c r="AJ142" i="2"/>
  <c r="AJ190" i="2" s="1"/>
  <c r="AN166" i="2"/>
  <c r="AN214" i="2" s="1"/>
  <c r="AN142" i="2"/>
  <c r="AN190" i="2" s="1"/>
  <c r="AR166" i="2"/>
  <c r="AR214" i="2" s="1"/>
  <c r="AR142" i="2"/>
  <c r="AR190" i="2" s="1"/>
  <c r="AV166" i="2"/>
  <c r="AV214" i="2" s="1"/>
  <c r="AV142" i="2"/>
  <c r="AV190" i="2" s="1"/>
  <c r="AZ166" i="2"/>
  <c r="AZ214" i="2" s="1"/>
  <c r="AZ142" i="2"/>
  <c r="AZ190" i="2" s="1"/>
  <c r="BD166" i="2"/>
  <c r="BD214" i="2" s="1"/>
  <c r="BD142" i="2"/>
  <c r="BD190" i="2" s="1"/>
  <c r="BH166" i="2"/>
  <c r="BH214" i="2" s="1"/>
  <c r="BH142" i="2"/>
  <c r="BH190" i="2" s="1"/>
  <c r="BL166" i="2"/>
  <c r="BL214" i="2" s="1"/>
  <c r="BL142" i="2"/>
  <c r="BL190" i="2" s="1"/>
  <c r="BP166" i="2"/>
  <c r="BP214" i="2" s="1"/>
  <c r="BP142" i="2"/>
  <c r="BP190" i="2" s="1"/>
  <c r="BT166" i="2"/>
  <c r="BT214" i="2" s="1"/>
  <c r="BT142" i="2"/>
  <c r="BT190" i="2" s="1"/>
  <c r="BX166" i="2"/>
  <c r="BX214" i="2" s="1"/>
  <c r="BX142" i="2"/>
  <c r="BX190" i="2" s="1"/>
  <c r="CB166" i="2"/>
  <c r="CB214" i="2" s="1"/>
  <c r="CB142" i="2"/>
  <c r="CB190" i="2" s="1"/>
  <c r="CF166" i="2"/>
  <c r="CF214" i="2" s="1"/>
  <c r="CF142" i="2"/>
  <c r="CF190" i="2" s="1"/>
  <c r="CJ166" i="2"/>
  <c r="CJ214" i="2" s="1"/>
  <c r="CJ142" i="2"/>
  <c r="CJ190" i="2" s="1"/>
  <c r="CN166" i="2"/>
  <c r="CN214" i="2" s="1"/>
  <c r="CN142" i="2"/>
  <c r="CN190" i="2" s="1"/>
  <c r="CR166" i="2"/>
  <c r="CR214" i="2" s="1"/>
  <c r="CR142" i="2"/>
  <c r="CR190" i="2" s="1"/>
  <c r="CV166" i="2"/>
  <c r="CV214" i="2" s="1"/>
  <c r="CV142" i="2"/>
  <c r="CV190" i="2" s="1"/>
  <c r="C167" i="2"/>
  <c r="C143" i="2"/>
  <c r="C191" i="2" s="1"/>
  <c r="G167" i="2"/>
  <c r="G215" i="2" s="1"/>
  <c r="G143" i="2"/>
  <c r="G191" i="2" s="1"/>
  <c r="K167" i="2"/>
  <c r="K215" i="2" s="1"/>
  <c r="K143" i="2"/>
  <c r="K191" i="2" s="1"/>
  <c r="O167" i="2"/>
  <c r="O215" i="2" s="1"/>
  <c r="O143" i="2"/>
  <c r="O191" i="2" s="1"/>
  <c r="S167" i="2"/>
  <c r="S215" i="2" s="1"/>
  <c r="S143" i="2"/>
  <c r="S191" i="2" s="1"/>
  <c r="W167" i="2"/>
  <c r="W215" i="2" s="1"/>
  <c r="W143" i="2"/>
  <c r="W191" i="2" s="1"/>
  <c r="AA167" i="2"/>
  <c r="AA215" i="2" s="1"/>
  <c r="AA143" i="2"/>
  <c r="AA191" i="2" s="1"/>
  <c r="AE167" i="2"/>
  <c r="AE215" i="2" s="1"/>
  <c r="AE143" i="2"/>
  <c r="AE191" i="2" s="1"/>
  <c r="AI167" i="2"/>
  <c r="AI215" i="2" s="1"/>
  <c r="AI143" i="2"/>
  <c r="AI191" i="2" s="1"/>
  <c r="AM167" i="2"/>
  <c r="AM215" i="2" s="1"/>
  <c r="AM143" i="2"/>
  <c r="AM191" i="2" s="1"/>
  <c r="AQ167" i="2"/>
  <c r="AQ215" i="2" s="1"/>
  <c r="AQ143" i="2"/>
  <c r="AQ191" i="2" s="1"/>
  <c r="AU167" i="2"/>
  <c r="AU215" i="2" s="1"/>
  <c r="AU143" i="2"/>
  <c r="AU191" i="2" s="1"/>
  <c r="AY167" i="2"/>
  <c r="AY215" i="2" s="1"/>
  <c r="AY143" i="2"/>
  <c r="AY191" i="2" s="1"/>
  <c r="BC167" i="2"/>
  <c r="BC215" i="2" s="1"/>
  <c r="BC143" i="2"/>
  <c r="BC191" i="2" s="1"/>
  <c r="BG167" i="2"/>
  <c r="BG215" i="2" s="1"/>
  <c r="BG143" i="2"/>
  <c r="BG191" i="2" s="1"/>
  <c r="BK167" i="2"/>
  <c r="BK215" i="2" s="1"/>
  <c r="BK143" i="2"/>
  <c r="BK191" i="2" s="1"/>
  <c r="BO167" i="2"/>
  <c r="BO215" i="2" s="1"/>
  <c r="BO143" i="2"/>
  <c r="BO191" i="2" s="1"/>
  <c r="BS167" i="2"/>
  <c r="BS215" i="2" s="1"/>
  <c r="BS143" i="2"/>
  <c r="BS191" i="2" s="1"/>
  <c r="BW167" i="2"/>
  <c r="BW215" i="2" s="1"/>
  <c r="BW143" i="2"/>
  <c r="BW191" i="2" s="1"/>
  <c r="CA167" i="2"/>
  <c r="CA215" i="2" s="1"/>
  <c r="CA143" i="2"/>
  <c r="CA191" i="2" s="1"/>
  <c r="CE167" i="2"/>
  <c r="CE215" i="2" s="1"/>
  <c r="CE143" i="2"/>
  <c r="CE191" i="2" s="1"/>
  <c r="CI167" i="2"/>
  <c r="CI215" i="2" s="1"/>
  <c r="CI143" i="2"/>
  <c r="CI191" i="2" s="1"/>
  <c r="CM167" i="2"/>
  <c r="CM215" i="2" s="1"/>
  <c r="CM143" i="2"/>
  <c r="CM191" i="2" s="1"/>
  <c r="CQ167" i="2"/>
  <c r="CQ215" i="2" s="1"/>
  <c r="CQ143" i="2"/>
  <c r="CQ191" i="2" s="1"/>
  <c r="CU167" i="2"/>
  <c r="CU143" i="2"/>
  <c r="CU191" i="2" s="1"/>
  <c r="CY167" i="2"/>
  <c r="CY215" i="2" s="1"/>
  <c r="CY143" i="2"/>
  <c r="CY191" i="2" s="1"/>
  <c r="F168" i="2"/>
  <c r="F216" i="2" s="1"/>
  <c r="F144" i="2"/>
  <c r="F192" i="2" s="1"/>
  <c r="J168" i="2"/>
  <c r="J216" i="2" s="1"/>
  <c r="J144" i="2"/>
  <c r="J192" i="2" s="1"/>
  <c r="N168" i="2"/>
  <c r="N216" i="2" s="1"/>
  <c r="N144" i="2"/>
  <c r="N192" i="2" s="1"/>
  <c r="R168" i="2"/>
  <c r="R216" i="2" s="1"/>
  <c r="R144" i="2"/>
  <c r="R192" i="2" s="1"/>
  <c r="V168" i="2"/>
  <c r="V216" i="2" s="1"/>
  <c r="V144" i="2"/>
  <c r="V192" i="2" s="1"/>
  <c r="Z168" i="2"/>
  <c r="Z216" i="2" s="1"/>
  <c r="Z144" i="2"/>
  <c r="Z192" i="2" s="1"/>
  <c r="AD168" i="2"/>
  <c r="AD216" i="2" s="1"/>
  <c r="AD144" i="2"/>
  <c r="AD192" i="2" s="1"/>
  <c r="AH168" i="2"/>
  <c r="AH216" i="2" s="1"/>
  <c r="AH144" i="2"/>
  <c r="AH192" i="2" s="1"/>
  <c r="AL168" i="2"/>
  <c r="AL216" i="2" s="1"/>
  <c r="AL144" i="2"/>
  <c r="AL192" i="2" s="1"/>
  <c r="AP168" i="2"/>
  <c r="AP216" i="2" s="1"/>
  <c r="AP144" i="2"/>
  <c r="AP192" i="2" s="1"/>
  <c r="AT168" i="2"/>
  <c r="AT216" i="2" s="1"/>
  <c r="AT144" i="2"/>
  <c r="AT192" i="2" s="1"/>
  <c r="AX168" i="2"/>
  <c r="AX216" i="2" s="1"/>
  <c r="AX144" i="2"/>
  <c r="AX192" i="2" s="1"/>
  <c r="BB168" i="2"/>
  <c r="BB216" i="2" s="1"/>
  <c r="BB144" i="2"/>
  <c r="BB192" i="2" s="1"/>
  <c r="BF168" i="2"/>
  <c r="BF216" i="2" s="1"/>
  <c r="BF144" i="2"/>
  <c r="BF192" i="2" s="1"/>
  <c r="BJ168" i="2"/>
  <c r="BJ216" i="2" s="1"/>
  <c r="BJ144" i="2"/>
  <c r="BJ192" i="2" s="1"/>
  <c r="BN168" i="2"/>
  <c r="BN216" i="2" s="1"/>
  <c r="BN144" i="2"/>
  <c r="BN192" i="2" s="1"/>
  <c r="BR168" i="2"/>
  <c r="BR216" i="2" s="1"/>
  <c r="BR144" i="2"/>
  <c r="BR192" i="2" s="1"/>
  <c r="BV168" i="2"/>
  <c r="BV216" i="2" s="1"/>
  <c r="BV144" i="2"/>
  <c r="BV192" i="2" s="1"/>
  <c r="BZ168" i="2"/>
  <c r="BZ216" i="2" s="1"/>
  <c r="BZ144" i="2"/>
  <c r="BZ192" i="2" s="1"/>
  <c r="CD168" i="2"/>
  <c r="CD216" i="2" s="1"/>
  <c r="CD144" i="2"/>
  <c r="CD192" i="2" s="1"/>
  <c r="CH168" i="2"/>
  <c r="CH216" i="2" s="1"/>
  <c r="CH144" i="2"/>
  <c r="CH192" i="2" s="1"/>
  <c r="CL168" i="2"/>
  <c r="CL216" i="2" s="1"/>
  <c r="CL144" i="2"/>
  <c r="CL192" i="2" s="1"/>
  <c r="CP168" i="2"/>
  <c r="CP216" i="2" s="1"/>
  <c r="CP144" i="2"/>
  <c r="CP192" i="2" s="1"/>
  <c r="CT168" i="2"/>
  <c r="CT216" i="2" s="1"/>
  <c r="CT144" i="2"/>
  <c r="CT192" i="2" s="1"/>
  <c r="CX168" i="2"/>
  <c r="CX216" i="2" s="1"/>
  <c r="CX144" i="2"/>
  <c r="CX192" i="2" s="1"/>
  <c r="E169" i="2"/>
  <c r="E217" i="2" s="1"/>
  <c r="E145" i="2"/>
  <c r="E193" i="2" s="1"/>
  <c r="I169" i="2"/>
  <c r="I217" i="2" s="1"/>
  <c r="I145" i="2"/>
  <c r="I193" i="2" s="1"/>
  <c r="M169" i="2"/>
  <c r="M217" i="2" s="1"/>
  <c r="M145" i="2"/>
  <c r="M193" i="2" s="1"/>
  <c r="Q169" i="2"/>
  <c r="Q217" i="2" s="1"/>
  <c r="Q145" i="2"/>
  <c r="Q193" i="2" s="1"/>
  <c r="U169" i="2"/>
  <c r="U217" i="2" s="1"/>
  <c r="U145" i="2"/>
  <c r="U193" i="2" s="1"/>
  <c r="Y169" i="2"/>
  <c r="Y217" i="2" s="1"/>
  <c r="Y145" i="2"/>
  <c r="Y193" i="2" s="1"/>
  <c r="AC169" i="2"/>
  <c r="AC217" i="2" s="1"/>
  <c r="AC145" i="2"/>
  <c r="AC193" i="2" s="1"/>
  <c r="AG169" i="2"/>
  <c r="AG217" i="2" s="1"/>
  <c r="AG145" i="2"/>
  <c r="AG193" i="2" s="1"/>
  <c r="AK169" i="2"/>
  <c r="AK217" i="2" s="1"/>
  <c r="AK145" i="2"/>
  <c r="AK193" i="2" s="1"/>
  <c r="AO169" i="2"/>
  <c r="AO217" i="2" s="1"/>
  <c r="AO145" i="2"/>
  <c r="AO193" i="2" s="1"/>
  <c r="AS169" i="2"/>
  <c r="AS217" i="2" s="1"/>
  <c r="AS145" i="2"/>
  <c r="AS193" i="2" s="1"/>
  <c r="AW169" i="2"/>
  <c r="AW217" i="2" s="1"/>
  <c r="AW145" i="2"/>
  <c r="AW193" i="2" s="1"/>
  <c r="BA169" i="2"/>
  <c r="BA217" i="2" s="1"/>
  <c r="BA145" i="2"/>
  <c r="BA193" i="2" s="1"/>
  <c r="BE169" i="2"/>
  <c r="BE217" i="2" s="1"/>
  <c r="BE145" i="2"/>
  <c r="BE193" i="2" s="1"/>
  <c r="BI169" i="2"/>
  <c r="BI217" i="2" s="1"/>
  <c r="BI145" i="2"/>
  <c r="BI193" i="2" s="1"/>
  <c r="BM169" i="2"/>
  <c r="BM217" i="2" s="1"/>
  <c r="BM145" i="2"/>
  <c r="BM193" i="2" s="1"/>
  <c r="BQ169" i="2"/>
  <c r="BQ217" i="2" s="1"/>
  <c r="BQ145" i="2"/>
  <c r="BQ193" i="2" s="1"/>
  <c r="BU169" i="2"/>
  <c r="BU217" i="2" s="1"/>
  <c r="BU145" i="2"/>
  <c r="BU193" i="2" s="1"/>
  <c r="BY169" i="2"/>
  <c r="BY217" i="2" s="1"/>
  <c r="BY145" i="2"/>
  <c r="BY193" i="2" s="1"/>
  <c r="CC169" i="2"/>
  <c r="CC217" i="2" s="1"/>
  <c r="CC145" i="2"/>
  <c r="CC193" i="2" s="1"/>
  <c r="CG169" i="2"/>
  <c r="CG217" i="2" s="1"/>
  <c r="CG145" i="2"/>
  <c r="CG193" i="2" s="1"/>
  <c r="CK169" i="2"/>
  <c r="CK217" i="2" s="1"/>
  <c r="CK145" i="2"/>
  <c r="CK193" i="2" s="1"/>
  <c r="CO169" i="2"/>
  <c r="CO145" i="2"/>
  <c r="CO193" i="2" s="1"/>
  <c r="CS169" i="2"/>
  <c r="CS145" i="2"/>
  <c r="CS193" i="2" s="1"/>
  <c r="CW169" i="2"/>
  <c r="CW217" i="2" s="1"/>
  <c r="CW145" i="2"/>
  <c r="CW193" i="2" s="1"/>
  <c r="D146" i="2"/>
  <c r="D194" i="2" s="1"/>
  <c r="D170" i="2"/>
  <c r="D218" i="2" s="1"/>
  <c r="H170" i="2"/>
  <c r="H218" i="2" s="1"/>
  <c r="H146" i="2"/>
  <c r="H194" i="2" s="1"/>
  <c r="L170" i="2"/>
  <c r="L218" i="2" s="1"/>
  <c r="L146" i="2"/>
  <c r="L194" i="2" s="1"/>
  <c r="P170" i="2"/>
  <c r="P218" i="2" s="1"/>
  <c r="P146" i="2"/>
  <c r="P194" i="2" s="1"/>
  <c r="T170" i="2"/>
  <c r="T218" i="2" s="1"/>
  <c r="T146" i="2"/>
  <c r="T194" i="2" s="1"/>
  <c r="X170" i="2"/>
  <c r="X218" i="2" s="1"/>
  <c r="X146" i="2"/>
  <c r="X194" i="2" s="1"/>
  <c r="AB170" i="2"/>
  <c r="AB218" i="2" s="1"/>
  <c r="AB146" i="2"/>
  <c r="AB194" i="2" s="1"/>
  <c r="AF170" i="2"/>
  <c r="AF218" i="2" s="1"/>
  <c r="AF146" i="2"/>
  <c r="AF194" i="2" s="1"/>
  <c r="AJ170" i="2"/>
  <c r="AJ218" i="2" s="1"/>
  <c r="AJ146" i="2"/>
  <c r="AJ194" i="2" s="1"/>
  <c r="AN170" i="2"/>
  <c r="AN218" i="2" s="1"/>
  <c r="AN146" i="2"/>
  <c r="AN194" i="2" s="1"/>
  <c r="AR170" i="2"/>
  <c r="AR218" i="2" s="1"/>
  <c r="AR146" i="2"/>
  <c r="AR194" i="2" s="1"/>
  <c r="AV170" i="2"/>
  <c r="AV218" i="2" s="1"/>
  <c r="AV146" i="2"/>
  <c r="AV194" i="2" s="1"/>
  <c r="AZ170" i="2"/>
  <c r="AZ218" i="2" s="1"/>
  <c r="AZ146" i="2"/>
  <c r="AZ194" i="2" s="1"/>
  <c r="BD170" i="2"/>
  <c r="BD218" i="2" s="1"/>
  <c r="BD146" i="2"/>
  <c r="BD194" i="2" s="1"/>
  <c r="BH170" i="2"/>
  <c r="BH218" i="2" s="1"/>
  <c r="BH146" i="2"/>
  <c r="BH194" i="2" s="1"/>
  <c r="BL170" i="2"/>
  <c r="BL218" i="2" s="1"/>
  <c r="BL146" i="2"/>
  <c r="BL194" i="2" s="1"/>
  <c r="BP170" i="2"/>
  <c r="BP218" i="2" s="1"/>
  <c r="BP146" i="2"/>
  <c r="BP194" i="2" s="1"/>
  <c r="BT170" i="2"/>
  <c r="BT218" i="2" s="1"/>
  <c r="BT146" i="2"/>
  <c r="BT194" i="2" s="1"/>
  <c r="BX170" i="2"/>
  <c r="BX218" i="2" s="1"/>
  <c r="BX146" i="2"/>
  <c r="BX194" i="2" s="1"/>
  <c r="CB170" i="2"/>
  <c r="CB218" i="2" s="1"/>
  <c r="CB146" i="2"/>
  <c r="CB194" i="2" s="1"/>
  <c r="CF170" i="2"/>
  <c r="CF218" i="2" s="1"/>
  <c r="CF146" i="2"/>
  <c r="CF194" i="2" s="1"/>
  <c r="CJ170" i="2"/>
  <c r="CJ218" i="2" s="1"/>
  <c r="CJ146" i="2"/>
  <c r="CJ194" i="2" s="1"/>
  <c r="CN170" i="2"/>
  <c r="CN218" i="2" s="1"/>
  <c r="CN146" i="2"/>
  <c r="CN194" i="2" s="1"/>
  <c r="CR170" i="2"/>
  <c r="CR218" i="2" s="1"/>
  <c r="CR146" i="2"/>
  <c r="CR194" i="2" s="1"/>
  <c r="CV170" i="2"/>
  <c r="CV218" i="2" s="1"/>
  <c r="CV146" i="2"/>
  <c r="CV194" i="2" s="1"/>
  <c r="C171" i="2"/>
  <c r="C147" i="2"/>
  <c r="C195" i="2" s="1"/>
  <c r="G171" i="2"/>
  <c r="G219" i="2" s="1"/>
  <c r="G147" i="2"/>
  <c r="G195" i="2" s="1"/>
  <c r="K171" i="2"/>
  <c r="K219" i="2" s="1"/>
  <c r="K147" i="2"/>
  <c r="K195" i="2" s="1"/>
  <c r="O171" i="2"/>
  <c r="O219" i="2" s="1"/>
  <c r="O147" i="2"/>
  <c r="O195" i="2" s="1"/>
  <c r="S171" i="2"/>
  <c r="S219" i="2" s="1"/>
  <c r="S147" i="2"/>
  <c r="S195" i="2" s="1"/>
  <c r="W171" i="2"/>
  <c r="W219" i="2" s="1"/>
  <c r="W147" i="2"/>
  <c r="W195" i="2" s="1"/>
  <c r="AA171" i="2"/>
  <c r="AA219" i="2" s="1"/>
  <c r="AA147" i="2"/>
  <c r="AA195" i="2" s="1"/>
  <c r="AE171" i="2"/>
  <c r="AE219" i="2" s="1"/>
  <c r="AE147" i="2"/>
  <c r="AE195" i="2" s="1"/>
  <c r="AI171" i="2"/>
  <c r="AI219" i="2" s="1"/>
  <c r="AI147" i="2"/>
  <c r="AI195" i="2" s="1"/>
  <c r="AM171" i="2"/>
  <c r="AM219" i="2" s="1"/>
  <c r="AM147" i="2"/>
  <c r="AM195" i="2" s="1"/>
  <c r="AQ171" i="2"/>
  <c r="AQ219" i="2" s="1"/>
  <c r="AQ147" i="2"/>
  <c r="AQ195" i="2" s="1"/>
  <c r="AU171" i="2"/>
  <c r="AU219" i="2" s="1"/>
  <c r="AU147" i="2"/>
  <c r="AU195" i="2" s="1"/>
  <c r="AY171" i="2"/>
  <c r="AY219" i="2" s="1"/>
  <c r="AY147" i="2"/>
  <c r="AY195" i="2" s="1"/>
  <c r="BC171" i="2"/>
  <c r="BC219" i="2" s="1"/>
  <c r="BC147" i="2"/>
  <c r="BC195" i="2" s="1"/>
  <c r="BG171" i="2"/>
  <c r="BG219" i="2" s="1"/>
  <c r="BG147" i="2"/>
  <c r="BG195" i="2" s="1"/>
  <c r="BK171" i="2"/>
  <c r="BK219" i="2" s="1"/>
  <c r="BK147" i="2"/>
  <c r="BK195" i="2" s="1"/>
  <c r="BO171" i="2"/>
  <c r="BO219" i="2" s="1"/>
  <c r="BO147" i="2"/>
  <c r="BS171" i="2"/>
  <c r="BS147" i="2"/>
  <c r="BW171" i="2"/>
  <c r="BW219" i="2" s="1"/>
  <c r="BW147" i="2"/>
  <c r="CA171" i="2"/>
  <c r="CA147" i="2"/>
  <c r="CE171" i="2"/>
  <c r="CE219" i="2" s="1"/>
  <c r="CE147" i="2"/>
  <c r="CI171" i="2"/>
  <c r="CI147" i="2"/>
  <c r="CM171" i="2"/>
  <c r="CM219" i="2" s="1"/>
  <c r="CM147" i="2"/>
  <c r="CQ171" i="2"/>
  <c r="CQ147" i="2"/>
  <c r="CU171" i="2"/>
  <c r="CU219" i="2" s="1"/>
  <c r="CU147" i="2"/>
  <c r="CY171" i="2"/>
  <c r="CY219" i="2" s="1"/>
  <c r="CY147" i="2"/>
  <c r="CY195" i="2" s="1"/>
  <c r="E152" i="2"/>
  <c r="E128" i="2"/>
  <c r="E100" i="2"/>
  <c r="Q152" i="2"/>
  <c r="Q128" i="2"/>
  <c r="Q100" i="2"/>
  <c r="AC152" i="2"/>
  <c r="AC128" i="2"/>
  <c r="AC100" i="2"/>
  <c r="AK152" i="2"/>
  <c r="AK128" i="2"/>
  <c r="AK100" i="2"/>
  <c r="AS152" i="2"/>
  <c r="AS128" i="2"/>
  <c r="AS100" i="2"/>
  <c r="BE152" i="2"/>
  <c r="BE128" i="2"/>
  <c r="BE100" i="2"/>
  <c r="BM152" i="2"/>
  <c r="BM128" i="2"/>
  <c r="BM100" i="2"/>
  <c r="BU152" i="2"/>
  <c r="BU128" i="2"/>
  <c r="BU100" i="2"/>
  <c r="CC152" i="2"/>
  <c r="CC128" i="2"/>
  <c r="CC100" i="2"/>
  <c r="CO152" i="2"/>
  <c r="CO128" i="2"/>
  <c r="CO100" i="2"/>
  <c r="D153" i="2"/>
  <c r="D201" i="2" s="1"/>
  <c r="D129" i="2"/>
  <c r="D177" i="2" s="1"/>
  <c r="P153" i="2"/>
  <c r="P201" i="2" s="1"/>
  <c r="P129" i="2"/>
  <c r="P177" i="2" s="1"/>
  <c r="AB153" i="2"/>
  <c r="AB201" i="2" s="1"/>
  <c r="AB129" i="2"/>
  <c r="AB177" i="2" s="1"/>
  <c r="AR153" i="2"/>
  <c r="AR201" i="2" s="1"/>
  <c r="AR129" i="2"/>
  <c r="AR177" i="2" s="1"/>
  <c r="BD153" i="2"/>
  <c r="BD201" i="2" s="1"/>
  <c r="BD129" i="2"/>
  <c r="BD177" i="2" s="1"/>
  <c r="BL153" i="2"/>
  <c r="BL201" i="2" s="1"/>
  <c r="BL129" i="2"/>
  <c r="BL177" i="2" s="1"/>
  <c r="BT153" i="2"/>
  <c r="BT201" i="2" s="1"/>
  <c r="BT129" i="2"/>
  <c r="BT177" i="2" s="1"/>
  <c r="CF153" i="2"/>
  <c r="CF201" i="2" s="1"/>
  <c r="CF129" i="2"/>
  <c r="CF177" i="2" s="1"/>
  <c r="CR153" i="2"/>
  <c r="CR201" i="2" s="1"/>
  <c r="CR129" i="2"/>
  <c r="CR177" i="2" s="1"/>
  <c r="G154" i="2"/>
  <c r="G202" i="2" s="1"/>
  <c r="G130" i="2"/>
  <c r="G178" i="2" s="1"/>
  <c r="S154" i="2"/>
  <c r="S202" i="2" s="1"/>
  <c r="S130" i="2"/>
  <c r="S178" i="2" s="1"/>
  <c r="AI154" i="2"/>
  <c r="AI202" i="2" s="1"/>
  <c r="AI130" i="2"/>
  <c r="AI178" i="2" s="1"/>
  <c r="AU154" i="2"/>
  <c r="AU202" i="2" s="1"/>
  <c r="AU130" i="2"/>
  <c r="AU178" i="2" s="1"/>
  <c r="BG154" i="2"/>
  <c r="BG202" i="2" s="1"/>
  <c r="BG130" i="2"/>
  <c r="BG178" i="2" s="1"/>
  <c r="BS154" i="2"/>
  <c r="BS202" i="2" s="1"/>
  <c r="BS130" i="2"/>
  <c r="BS178" i="2" s="1"/>
  <c r="CE154" i="2"/>
  <c r="CE202" i="2" s="1"/>
  <c r="CE130" i="2"/>
  <c r="CE178" i="2" s="1"/>
  <c r="CU154" i="2"/>
  <c r="CU202" i="2" s="1"/>
  <c r="CU130" i="2"/>
  <c r="CU178" i="2" s="1"/>
  <c r="N155" i="2"/>
  <c r="N203" i="2" s="1"/>
  <c r="N131" i="2"/>
  <c r="N179" i="2" s="1"/>
  <c r="Z155" i="2"/>
  <c r="Z203" i="2" s="1"/>
  <c r="Z131" i="2"/>
  <c r="Z179" i="2" s="1"/>
  <c r="AL155" i="2"/>
  <c r="AL203" i="2" s="1"/>
  <c r="AL131" i="2"/>
  <c r="AL179" i="2" s="1"/>
  <c r="AX155" i="2"/>
  <c r="AX203" i="2" s="1"/>
  <c r="AX131" i="2"/>
  <c r="AX179" i="2" s="1"/>
  <c r="BJ155" i="2"/>
  <c r="BJ203" i="2" s="1"/>
  <c r="BJ131" i="2"/>
  <c r="BJ179" i="2" s="1"/>
  <c r="BR155" i="2"/>
  <c r="BR203" i="2" s="1"/>
  <c r="BR131" i="2"/>
  <c r="BR179" i="2" s="1"/>
  <c r="CD155" i="2"/>
  <c r="CD131" i="2"/>
  <c r="CD179" i="2" s="1"/>
  <c r="CP155" i="2"/>
  <c r="CP203" i="2" s="1"/>
  <c r="CP131" i="2"/>
  <c r="CP179" i="2" s="1"/>
  <c r="E156" i="2"/>
  <c r="E204" i="2" s="1"/>
  <c r="E132" i="2"/>
  <c r="E180" i="2" s="1"/>
  <c r="Q156" i="2"/>
  <c r="Q204" i="2" s="1"/>
  <c r="Q132" i="2"/>
  <c r="Q180" i="2" s="1"/>
  <c r="AC156" i="2"/>
  <c r="AC204" i="2" s="1"/>
  <c r="AC132" i="2"/>
  <c r="AC180" i="2" s="1"/>
  <c r="AO156" i="2"/>
  <c r="AO204" i="2" s="1"/>
  <c r="AO132" i="2"/>
  <c r="AO180" i="2" s="1"/>
  <c r="BA156" i="2"/>
  <c r="BA204" i="2" s="1"/>
  <c r="BA132" i="2"/>
  <c r="BA180" i="2" s="1"/>
  <c r="BM156" i="2"/>
  <c r="BM204" i="2" s="1"/>
  <c r="BM132" i="2"/>
  <c r="BM180" i="2" s="1"/>
  <c r="BY156" i="2"/>
  <c r="BY204" i="2" s="1"/>
  <c r="BY132" i="2"/>
  <c r="BY180" i="2" s="1"/>
  <c r="CK156" i="2"/>
  <c r="CK132" i="2"/>
  <c r="CK180" i="2" s="1"/>
  <c r="D157" i="2"/>
  <c r="D205" i="2" s="1"/>
  <c r="D133" i="2"/>
  <c r="D181" i="2" s="1"/>
  <c r="T157" i="2"/>
  <c r="T205" i="2" s="1"/>
  <c r="T133" i="2"/>
  <c r="T181" i="2" s="1"/>
  <c r="AF157" i="2"/>
  <c r="AF205" i="2" s="1"/>
  <c r="AF133" i="2"/>
  <c r="AF181" i="2" s="1"/>
  <c r="AR157" i="2"/>
  <c r="AR205" i="2" s="1"/>
  <c r="AR133" i="2"/>
  <c r="AR181" i="2" s="1"/>
  <c r="BD157" i="2"/>
  <c r="BD205" i="2" s="1"/>
  <c r="BD133" i="2"/>
  <c r="BD181" i="2" s="1"/>
  <c r="BP157" i="2"/>
  <c r="BP205" i="2" s="1"/>
  <c r="BP133" i="2"/>
  <c r="BP181" i="2" s="1"/>
  <c r="CB157" i="2"/>
  <c r="CB205" i="2" s="1"/>
  <c r="CB133" i="2"/>
  <c r="CB181" i="2" s="1"/>
  <c r="CJ157" i="2"/>
  <c r="CJ205" i="2" s="1"/>
  <c r="CJ133" i="2"/>
  <c r="CJ181" i="2" s="1"/>
  <c r="C134" i="2"/>
  <c r="C182" i="2" s="1"/>
  <c r="C158" i="2"/>
  <c r="O158" i="2"/>
  <c r="O206" i="2" s="1"/>
  <c r="O134" i="2"/>
  <c r="O182" i="2" s="1"/>
  <c r="AA158" i="2"/>
  <c r="AA206" i="2" s="1"/>
  <c r="AA134" i="2"/>
  <c r="AA182" i="2" s="1"/>
  <c r="AQ158" i="2"/>
  <c r="AQ206" i="2" s="1"/>
  <c r="AQ134" i="2"/>
  <c r="AQ182" i="2" s="1"/>
  <c r="BC158" i="2"/>
  <c r="BC206" i="2" s="1"/>
  <c r="BC134" i="2"/>
  <c r="BC182" i="2" s="1"/>
  <c r="BK158" i="2"/>
  <c r="BK206" i="2" s="1"/>
  <c r="BK134" i="2"/>
  <c r="BK182" i="2" s="1"/>
  <c r="BS158" i="2"/>
  <c r="BS206" i="2" s="1"/>
  <c r="BS134" i="2"/>
  <c r="BS182" i="2" s="1"/>
  <c r="CE158" i="2"/>
  <c r="CE206" i="2" s="1"/>
  <c r="CE134" i="2"/>
  <c r="CE182" i="2" s="1"/>
  <c r="CM158" i="2"/>
  <c r="CM206" i="2" s="1"/>
  <c r="CM134" i="2"/>
  <c r="CM182" i="2" s="1"/>
  <c r="CY158" i="2"/>
  <c r="CY206" i="2" s="1"/>
  <c r="CY134" i="2"/>
  <c r="CY182" i="2" s="1"/>
  <c r="N159" i="2"/>
  <c r="N207" i="2" s="1"/>
  <c r="N135" i="2"/>
  <c r="N183" i="2" s="1"/>
  <c r="Z159" i="2"/>
  <c r="Z207" i="2" s="1"/>
  <c r="Z135" i="2"/>
  <c r="Z183" i="2" s="1"/>
  <c r="AL159" i="2"/>
  <c r="AL207" i="2" s="1"/>
  <c r="AL135" i="2"/>
  <c r="AL183" i="2" s="1"/>
  <c r="AT159" i="2"/>
  <c r="AT207" i="2" s="1"/>
  <c r="AT135" i="2"/>
  <c r="AT183" i="2" s="1"/>
  <c r="BF159" i="2"/>
  <c r="BF207" i="2" s="1"/>
  <c r="BF135" i="2"/>
  <c r="BF183" i="2" s="1"/>
  <c r="BR159" i="2"/>
  <c r="BR207" i="2" s="1"/>
  <c r="BR135" i="2"/>
  <c r="BR183" i="2" s="1"/>
  <c r="CD159" i="2"/>
  <c r="CD207" i="2" s="1"/>
  <c r="CD135" i="2"/>
  <c r="CD183" i="2" s="1"/>
  <c r="CL159" i="2"/>
  <c r="CL207" i="2" s="1"/>
  <c r="CL135" i="2"/>
  <c r="CL183" i="2" s="1"/>
  <c r="CX159" i="2"/>
  <c r="CX207" i="2" s="1"/>
  <c r="CX135" i="2"/>
  <c r="CX183" i="2" s="1"/>
  <c r="M160" i="2"/>
  <c r="M208" i="2" s="1"/>
  <c r="M136" i="2"/>
  <c r="M184" i="2" s="1"/>
  <c r="Y160" i="2"/>
  <c r="Y208" i="2" s="1"/>
  <c r="Y136" i="2"/>
  <c r="Y184" i="2" s="1"/>
  <c r="AK160" i="2"/>
  <c r="AK208" i="2" s="1"/>
  <c r="AK136" i="2"/>
  <c r="AK184" i="2" s="1"/>
  <c r="AW160" i="2"/>
  <c r="AW208" i="2" s="1"/>
  <c r="AW136" i="2"/>
  <c r="AW184" i="2" s="1"/>
  <c r="BI160" i="2"/>
  <c r="BI208" i="2" s="1"/>
  <c r="BI136" i="2"/>
  <c r="BI184" i="2" s="1"/>
  <c r="BQ160" i="2"/>
  <c r="BQ208" i="2" s="1"/>
  <c r="BQ136" i="2"/>
  <c r="BQ184" i="2" s="1"/>
  <c r="CC160" i="2"/>
  <c r="CC208" i="2" s="1"/>
  <c r="CC136" i="2"/>
  <c r="CC184" i="2" s="1"/>
  <c r="CO160" i="2"/>
  <c r="CO208" i="2" s="1"/>
  <c r="CO136" i="2"/>
  <c r="CO184" i="2" s="1"/>
  <c r="D161" i="2"/>
  <c r="D209" i="2" s="1"/>
  <c r="D137" i="2"/>
  <c r="D185" i="2" s="1"/>
  <c r="P161" i="2"/>
  <c r="P209" i="2" s="1"/>
  <c r="P137" i="2"/>
  <c r="P185" i="2" s="1"/>
  <c r="AF161" i="2"/>
  <c r="AF209" i="2" s="1"/>
  <c r="AF137" i="2"/>
  <c r="AF185" i="2" s="1"/>
  <c r="AR161" i="2"/>
  <c r="AR209" i="2" s="1"/>
  <c r="AR137" i="2"/>
  <c r="AR185" i="2" s="1"/>
  <c r="BD161" i="2"/>
  <c r="BD209" i="2" s="1"/>
  <c r="BD137" i="2"/>
  <c r="BD185" i="2" s="1"/>
  <c r="BP161" i="2"/>
  <c r="BP209" i="2" s="1"/>
  <c r="BP137" i="2"/>
  <c r="BP185" i="2" s="1"/>
  <c r="CB161" i="2"/>
  <c r="CB209" i="2" s="1"/>
  <c r="CB137" i="2"/>
  <c r="CB185" i="2" s="1"/>
  <c r="CN161" i="2"/>
  <c r="CN209" i="2" s="1"/>
  <c r="CN137" i="2"/>
  <c r="CN185" i="2" s="1"/>
  <c r="G162" i="2"/>
  <c r="G210" i="2" s="1"/>
  <c r="G138" i="2"/>
  <c r="G186" i="2" s="1"/>
  <c r="S162" i="2"/>
  <c r="S210" i="2" s="1"/>
  <c r="S138" i="2"/>
  <c r="S186" i="2" s="1"/>
  <c r="AE162" i="2"/>
  <c r="AE210" i="2" s="1"/>
  <c r="AE138" i="2"/>
  <c r="AE186" i="2" s="1"/>
  <c r="AQ162" i="2"/>
  <c r="AQ210" i="2" s="1"/>
  <c r="AQ138" i="2"/>
  <c r="AQ186" i="2" s="1"/>
  <c r="BC162" i="2"/>
  <c r="BC210" i="2" s="1"/>
  <c r="BC138" i="2"/>
  <c r="BC186" i="2" s="1"/>
  <c r="BS162" i="2"/>
  <c r="BS210" i="2" s="1"/>
  <c r="BS138" i="2"/>
  <c r="BS186" i="2" s="1"/>
  <c r="CE162" i="2"/>
  <c r="CE210" i="2" s="1"/>
  <c r="CE138" i="2"/>
  <c r="CE186" i="2" s="1"/>
  <c r="CQ162" i="2"/>
  <c r="CQ210" i="2" s="1"/>
  <c r="CQ138" i="2"/>
  <c r="CQ186" i="2" s="1"/>
  <c r="F163" i="2"/>
  <c r="F211" i="2" s="1"/>
  <c r="F139" i="2"/>
  <c r="F187" i="2" s="1"/>
  <c r="R163" i="2"/>
  <c r="R211" i="2" s="1"/>
  <c r="R139" i="2"/>
  <c r="R187" i="2" s="1"/>
  <c r="AD163" i="2"/>
  <c r="AD211" i="2" s="1"/>
  <c r="AD139" i="2"/>
  <c r="AD187" i="2" s="1"/>
  <c r="AT163" i="2"/>
  <c r="AT211" i="2" s="1"/>
  <c r="AT139" i="2"/>
  <c r="AT187" i="2" s="1"/>
  <c r="BF163" i="2"/>
  <c r="BF211" i="2" s="1"/>
  <c r="BF139" i="2"/>
  <c r="BF187" i="2" s="1"/>
  <c r="BR163" i="2"/>
  <c r="BR211" i="2" s="1"/>
  <c r="BR139" i="2"/>
  <c r="BR187" i="2" s="1"/>
  <c r="BZ163" i="2"/>
  <c r="BZ211" i="2" s="1"/>
  <c r="BZ139" i="2"/>
  <c r="BZ187" i="2" s="1"/>
  <c r="CL163" i="2"/>
  <c r="CL211" i="2" s="1"/>
  <c r="CL139" i="2"/>
  <c r="CL187" i="2" s="1"/>
  <c r="CX163" i="2"/>
  <c r="CX211" i="2" s="1"/>
  <c r="CX139" i="2"/>
  <c r="CX187" i="2" s="1"/>
  <c r="M164" i="2"/>
  <c r="M212" i="2" s="1"/>
  <c r="M140" i="2"/>
  <c r="M188" i="2" s="1"/>
  <c r="Y164" i="2"/>
  <c r="Y212" i="2" s="1"/>
  <c r="Y140" i="2"/>
  <c r="Y188" i="2" s="1"/>
  <c r="AO164" i="2"/>
  <c r="AO212" i="2" s="1"/>
  <c r="AO140" i="2"/>
  <c r="AO188" i="2" s="1"/>
  <c r="BA164" i="2"/>
  <c r="BA212" i="2" s="1"/>
  <c r="BA140" i="2"/>
  <c r="BA188" i="2" s="1"/>
  <c r="BM164" i="2"/>
  <c r="BM212" i="2" s="1"/>
  <c r="BM140" i="2"/>
  <c r="BM188" i="2" s="1"/>
  <c r="BU164" i="2"/>
  <c r="BU212" i="2" s="1"/>
  <c r="BU140" i="2"/>
  <c r="BU188" i="2" s="1"/>
  <c r="CG164" i="2"/>
  <c r="CG212" i="2" s="1"/>
  <c r="CG140" i="2"/>
  <c r="CG188" i="2" s="1"/>
  <c r="CS164" i="2"/>
  <c r="CS140" i="2"/>
  <c r="CS188" i="2" s="1"/>
  <c r="H165" i="2"/>
  <c r="H213" i="2" s="1"/>
  <c r="H141" i="2"/>
  <c r="H189" i="2" s="1"/>
  <c r="T165" i="2"/>
  <c r="T213" i="2" s="1"/>
  <c r="T141" i="2"/>
  <c r="T189" i="2" s="1"/>
  <c r="AF165" i="2"/>
  <c r="AF213" i="2" s="1"/>
  <c r="AF141" i="2"/>
  <c r="AF189" i="2" s="1"/>
  <c r="AN165" i="2"/>
  <c r="AN213" i="2" s="1"/>
  <c r="AN141" i="2"/>
  <c r="AN189" i="2" s="1"/>
  <c r="AZ165" i="2"/>
  <c r="AZ213" i="2" s="1"/>
  <c r="AZ141" i="2"/>
  <c r="AZ189" i="2" s="1"/>
  <c r="BH165" i="2"/>
  <c r="BH213" i="2" s="1"/>
  <c r="BH141" i="2"/>
  <c r="BH189" i="2" s="1"/>
  <c r="BT165" i="2"/>
  <c r="BT213" i="2" s="1"/>
  <c r="BT141" i="2"/>
  <c r="BT189" i="2" s="1"/>
  <c r="CF165" i="2"/>
  <c r="CF213" i="2" s="1"/>
  <c r="CF141" i="2"/>
  <c r="CF189" i="2" s="1"/>
  <c r="CR165" i="2"/>
  <c r="CR213" i="2" s="1"/>
  <c r="CR141" i="2"/>
  <c r="CR189" i="2" s="1"/>
  <c r="C142" i="2"/>
  <c r="C190" i="2" s="1"/>
  <c r="C166" i="2"/>
  <c r="O166" i="2"/>
  <c r="O214" i="2" s="1"/>
  <c r="O142" i="2"/>
  <c r="O190" i="2" s="1"/>
  <c r="AA166" i="2"/>
  <c r="AA214" i="2" s="1"/>
  <c r="AA142" i="2"/>
  <c r="AA190" i="2" s="1"/>
  <c r="AM166" i="2"/>
  <c r="AM214" i="2" s="1"/>
  <c r="AM142" i="2"/>
  <c r="AM190" i="2" s="1"/>
  <c r="AU166" i="2"/>
  <c r="AU214" i="2" s="1"/>
  <c r="AU142" i="2"/>
  <c r="AU190" i="2" s="1"/>
  <c r="BG166" i="2"/>
  <c r="BG214" i="2" s="1"/>
  <c r="BG142" i="2"/>
  <c r="BG190" i="2" s="1"/>
  <c r="BS166" i="2"/>
  <c r="BS214" i="2" s="1"/>
  <c r="BS142" i="2"/>
  <c r="BS190" i="2" s="1"/>
  <c r="CE166" i="2"/>
  <c r="CE214" i="2" s="1"/>
  <c r="CE142" i="2"/>
  <c r="CE190" i="2" s="1"/>
  <c r="CQ166" i="2"/>
  <c r="CQ214" i="2" s="1"/>
  <c r="CQ142" i="2"/>
  <c r="CQ190" i="2" s="1"/>
  <c r="CY166" i="2"/>
  <c r="CY214" i="2" s="1"/>
  <c r="CY142" i="2"/>
  <c r="CY190" i="2" s="1"/>
  <c r="N167" i="2"/>
  <c r="N215" i="2" s="1"/>
  <c r="N143" i="2"/>
  <c r="N191" i="2" s="1"/>
  <c r="V167" i="2"/>
  <c r="V215" i="2" s="1"/>
  <c r="V143" i="2"/>
  <c r="V191" i="2" s="1"/>
  <c r="AD167" i="2"/>
  <c r="AD215" i="2" s="1"/>
  <c r="AD143" i="2"/>
  <c r="AD191" i="2" s="1"/>
  <c r="AT167" i="2"/>
  <c r="AT215" i="2" s="1"/>
  <c r="AT143" i="2"/>
  <c r="AT191" i="2" s="1"/>
  <c r="BF167" i="2"/>
  <c r="BF215" i="2" s="1"/>
  <c r="BF143" i="2"/>
  <c r="BF191" i="2" s="1"/>
  <c r="BR167" i="2"/>
  <c r="BR215" i="2" s="1"/>
  <c r="BR143" i="2"/>
  <c r="BR191" i="2" s="1"/>
  <c r="CD167" i="2"/>
  <c r="CD215" i="2" s="1"/>
  <c r="CD143" i="2"/>
  <c r="CD191" i="2" s="1"/>
  <c r="CP167" i="2"/>
  <c r="CP215" i="2" s="1"/>
  <c r="CP143" i="2"/>
  <c r="CP191" i="2" s="1"/>
  <c r="E168" i="2"/>
  <c r="E216" i="2" s="1"/>
  <c r="E144" i="2"/>
  <c r="E192" i="2" s="1"/>
  <c r="M168" i="2"/>
  <c r="M216" i="2" s="1"/>
  <c r="M144" i="2"/>
  <c r="M192" i="2" s="1"/>
  <c r="Y168" i="2"/>
  <c r="Y216" i="2" s="1"/>
  <c r="Y144" i="2"/>
  <c r="Y192" i="2" s="1"/>
  <c r="AO168" i="2"/>
  <c r="AO216" i="2" s="1"/>
  <c r="AO144" i="2"/>
  <c r="AO192" i="2" s="1"/>
  <c r="BA168" i="2"/>
  <c r="BA216" i="2" s="1"/>
  <c r="BA144" i="2"/>
  <c r="BA192" i="2" s="1"/>
  <c r="BM168" i="2"/>
  <c r="BM216" i="2" s="1"/>
  <c r="BM144" i="2"/>
  <c r="BM192" i="2" s="1"/>
  <c r="BU168" i="2"/>
  <c r="BU216" i="2" s="1"/>
  <c r="BU144" i="2"/>
  <c r="BU192" i="2" s="1"/>
  <c r="CG168" i="2"/>
  <c r="CG216" i="2" s="1"/>
  <c r="CG144" i="2"/>
  <c r="CG192" i="2" s="1"/>
  <c r="CS168" i="2"/>
  <c r="CS216" i="2" s="1"/>
  <c r="CS144" i="2"/>
  <c r="CS192" i="2" s="1"/>
  <c r="D169" i="2"/>
  <c r="D217" i="2" s="1"/>
  <c r="D145" i="2"/>
  <c r="D193" i="2" s="1"/>
  <c r="P169" i="2"/>
  <c r="P217" i="2" s="1"/>
  <c r="P145" i="2"/>
  <c r="P193" i="2" s="1"/>
  <c r="AF169" i="2"/>
  <c r="AF217" i="2" s="1"/>
  <c r="AF145" i="2"/>
  <c r="AF193" i="2" s="1"/>
  <c r="AR169" i="2"/>
  <c r="AR217" i="2" s="1"/>
  <c r="AR145" i="2"/>
  <c r="AR193" i="2" s="1"/>
  <c r="BD169" i="2"/>
  <c r="BD217" i="2" s="1"/>
  <c r="BD145" i="2"/>
  <c r="BD193" i="2" s="1"/>
  <c r="BP169" i="2"/>
  <c r="BP217" i="2" s="1"/>
  <c r="BP145" i="2"/>
  <c r="BP193" i="2" s="1"/>
  <c r="CB169" i="2"/>
  <c r="CB217" i="2" s="1"/>
  <c r="CB145" i="2"/>
  <c r="CB193" i="2" s="1"/>
  <c r="CN169" i="2"/>
  <c r="CN145" i="2"/>
  <c r="CN193" i="2" s="1"/>
  <c r="CV169" i="2"/>
  <c r="CV217" i="2" s="1"/>
  <c r="CV145" i="2"/>
  <c r="CV193" i="2" s="1"/>
  <c r="K170" i="2"/>
  <c r="K218" i="2" s="1"/>
  <c r="K146" i="2"/>
  <c r="K194" i="2" s="1"/>
  <c r="W170" i="2"/>
  <c r="W218" i="2" s="1"/>
  <c r="W146" i="2"/>
  <c r="W194" i="2" s="1"/>
  <c r="AI170" i="2"/>
  <c r="AI218" i="2" s="1"/>
  <c r="AI146" i="2"/>
  <c r="AI194" i="2" s="1"/>
  <c r="AQ170" i="2"/>
  <c r="AQ218" i="2" s="1"/>
  <c r="AQ146" i="2"/>
  <c r="AQ194" i="2" s="1"/>
  <c r="BC170" i="2"/>
  <c r="BC218" i="2" s="1"/>
  <c r="BC146" i="2"/>
  <c r="BC194" i="2" s="1"/>
  <c r="BO170" i="2"/>
  <c r="BO218" i="2" s="1"/>
  <c r="BO146" i="2"/>
  <c r="BO194" i="2" s="1"/>
  <c r="CA170" i="2"/>
  <c r="CA218" i="2" s="1"/>
  <c r="CA146" i="2"/>
  <c r="CA194" i="2" s="1"/>
  <c r="CM170" i="2"/>
  <c r="CM218" i="2" s="1"/>
  <c r="CM146" i="2"/>
  <c r="CM194" i="2" s="1"/>
  <c r="CU170" i="2"/>
  <c r="CU218" i="2" s="1"/>
  <c r="CU146" i="2"/>
  <c r="CU194" i="2" s="1"/>
  <c r="J171" i="2"/>
  <c r="J219" i="2" s="1"/>
  <c r="J147" i="2"/>
  <c r="J195" i="2" s="1"/>
  <c r="R171" i="2"/>
  <c r="R219" i="2" s="1"/>
  <c r="R147" i="2"/>
  <c r="R195" i="2" s="1"/>
  <c r="Z171" i="2"/>
  <c r="Z219" i="2" s="1"/>
  <c r="Z147" i="2"/>
  <c r="Z195" i="2" s="1"/>
  <c r="AL171" i="2"/>
  <c r="AL219" i="2" s="1"/>
  <c r="AL147" i="2"/>
  <c r="AL195" i="2" s="1"/>
  <c r="AX171" i="2"/>
  <c r="AX219" i="2" s="1"/>
  <c r="AX147" i="2"/>
  <c r="AX195" i="2" s="1"/>
  <c r="BJ171" i="2"/>
  <c r="BJ219" i="2" s="1"/>
  <c r="BJ147" i="2"/>
  <c r="BJ195" i="2" s="1"/>
  <c r="BV171" i="2"/>
  <c r="BV219" i="2" s="1"/>
  <c r="BV147" i="2"/>
  <c r="CH171" i="2"/>
  <c r="CH147" i="2"/>
  <c r="CT171" i="2"/>
  <c r="CT219" i="2" s="1"/>
  <c r="CT147" i="2"/>
  <c r="V99" i="2"/>
  <c r="BB99" i="2"/>
  <c r="CX99" i="2"/>
  <c r="N152" i="2"/>
  <c r="N128" i="2"/>
  <c r="N100" i="2"/>
  <c r="V152" i="2"/>
  <c r="V128" i="2"/>
  <c r="V100" i="2"/>
  <c r="AH152" i="2"/>
  <c r="AH128" i="2"/>
  <c r="AH148" i="2" s="1"/>
  <c r="AH100" i="2"/>
  <c r="AP152" i="2"/>
  <c r="AP128" i="2"/>
  <c r="AP100" i="2"/>
  <c r="BB152" i="2"/>
  <c r="BB128" i="2"/>
  <c r="BB100" i="2"/>
  <c r="BN152" i="2"/>
  <c r="BN128" i="2"/>
  <c r="BN100" i="2"/>
  <c r="BZ152" i="2"/>
  <c r="BZ128" i="2"/>
  <c r="BZ100" i="2"/>
  <c r="CL152" i="2"/>
  <c r="CL128" i="2"/>
  <c r="CL100" i="2"/>
  <c r="Q153" i="2"/>
  <c r="Q201" i="2" s="1"/>
  <c r="Q129" i="2"/>
  <c r="Q177" i="2" s="1"/>
  <c r="BF99" i="2"/>
  <c r="C152" i="2"/>
  <c r="C200" i="2" s="1"/>
  <c r="C128" i="2"/>
  <c r="C176" i="2" s="1"/>
  <c r="K152" i="2"/>
  <c r="K128" i="2"/>
  <c r="K100" i="2"/>
  <c r="S152" i="2"/>
  <c r="S128" i="2"/>
  <c r="S100" i="2"/>
  <c r="AA152" i="2"/>
  <c r="AA172" i="2" s="1"/>
  <c r="AA128" i="2"/>
  <c r="AA100" i="2"/>
  <c r="AI152" i="2"/>
  <c r="AI128" i="2"/>
  <c r="AI100" i="2"/>
  <c r="AQ152" i="2"/>
  <c r="AQ128" i="2"/>
  <c r="AQ100" i="2"/>
  <c r="AY152" i="2"/>
  <c r="AY128" i="2"/>
  <c r="AY100" i="2"/>
  <c r="BG152" i="2"/>
  <c r="BG128" i="2"/>
  <c r="BG100" i="2"/>
  <c r="BO152" i="2"/>
  <c r="BO128" i="2"/>
  <c r="BO100" i="2"/>
  <c r="BS152" i="2"/>
  <c r="BS128" i="2"/>
  <c r="BS100" i="2"/>
  <c r="CA152" i="2"/>
  <c r="CA128" i="2"/>
  <c r="CA100" i="2"/>
  <c r="CI152" i="2"/>
  <c r="CI128" i="2"/>
  <c r="CI100" i="2"/>
  <c r="CQ152" i="2"/>
  <c r="CQ128" i="2"/>
  <c r="CQ100" i="2"/>
  <c r="CY152" i="2"/>
  <c r="CY128" i="2"/>
  <c r="CY100" i="2"/>
  <c r="J153" i="2"/>
  <c r="J201" i="2" s="1"/>
  <c r="J129" i="2"/>
  <c r="J177" i="2" s="1"/>
  <c r="R153" i="2"/>
  <c r="R201" i="2" s="1"/>
  <c r="R129" i="2"/>
  <c r="R177" i="2" s="1"/>
  <c r="Z153" i="2"/>
  <c r="Z201" i="2" s="1"/>
  <c r="Z129" i="2"/>
  <c r="Z177" i="2" s="1"/>
  <c r="AH153" i="2"/>
  <c r="AH201" i="2" s="1"/>
  <c r="AH129" i="2"/>
  <c r="AH177" i="2" s="1"/>
  <c r="AP153" i="2"/>
  <c r="AP201" i="2" s="1"/>
  <c r="AP129" i="2"/>
  <c r="AP177" i="2" s="1"/>
  <c r="AX153" i="2"/>
  <c r="AX201" i="2" s="1"/>
  <c r="AX129" i="2"/>
  <c r="AX177" i="2" s="1"/>
  <c r="BF153" i="2"/>
  <c r="BF201" i="2" s="1"/>
  <c r="BF129" i="2"/>
  <c r="BF177" i="2" s="1"/>
  <c r="BN153" i="2"/>
  <c r="BN201" i="2" s="1"/>
  <c r="BN129" i="2"/>
  <c r="BN177" i="2" s="1"/>
  <c r="BV153" i="2"/>
  <c r="BV201" i="2" s="1"/>
  <c r="BV129" i="2"/>
  <c r="BV177" i="2" s="1"/>
  <c r="CD153" i="2"/>
  <c r="CD201" i="2" s="1"/>
  <c r="CD129" i="2"/>
  <c r="CD177" i="2" s="1"/>
  <c r="CL153" i="2"/>
  <c r="CL201" i="2" s="1"/>
  <c r="CL129" i="2"/>
  <c r="CL177" i="2" s="1"/>
  <c r="CT153" i="2"/>
  <c r="CT201" i="2" s="1"/>
  <c r="CT129" i="2"/>
  <c r="CT177" i="2" s="1"/>
  <c r="E154" i="2"/>
  <c r="E202" i="2" s="1"/>
  <c r="E130" i="2"/>
  <c r="E178" i="2" s="1"/>
  <c r="M154" i="2"/>
  <c r="M202" i="2" s="1"/>
  <c r="M130" i="2"/>
  <c r="M178" i="2" s="1"/>
  <c r="U154" i="2"/>
  <c r="U202" i="2" s="1"/>
  <c r="U130" i="2"/>
  <c r="U178" i="2" s="1"/>
  <c r="AC154" i="2"/>
  <c r="AC202" i="2" s="1"/>
  <c r="AC130" i="2"/>
  <c r="AC178" i="2" s="1"/>
  <c r="AK154" i="2"/>
  <c r="AK202" i="2" s="1"/>
  <c r="AK130" i="2"/>
  <c r="AK178" i="2" s="1"/>
  <c r="AS154" i="2"/>
  <c r="AS202" i="2" s="1"/>
  <c r="AS130" i="2"/>
  <c r="AS178" i="2" s="1"/>
  <c r="BA154" i="2"/>
  <c r="BA202" i="2" s="1"/>
  <c r="BA130" i="2"/>
  <c r="BA178" i="2" s="1"/>
  <c r="BM154" i="2"/>
  <c r="BM202" i="2" s="1"/>
  <c r="BM130" i="2"/>
  <c r="BM178" i="2" s="1"/>
  <c r="CG154" i="2"/>
  <c r="CG202" i="2" s="1"/>
  <c r="CG130" i="2"/>
  <c r="CG178" i="2" s="1"/>
  <c r="CK154" i="2"/>
  <c r="CK202" i="2" s="1"/>
  <c r="CK130" i="2"/>
  <c r="CK178" i="2" s="1"/>
  <c r="CS154" i="2"/>
  <c r="CS130" i="2"/>
  <c r="CS178" i="2" s="1"/>
  <c r="D155" i="2"/>
  <c r="D203" i="2" s="1"/>
  <c r="D131" i="2"/>
  <c r="D179" i="2" s="1"/>
  <c r="L155" i="2"/>
  <c r="L203" i="2" s="1"/>
  <c r="L131" i="2"/>
  <c r="L179" i="2" s="1"/>
  <c r="T155" i="2"/>
  <c r="T203" i="2" s="1"/>
  <c r="T131" i="2"/>
  <c r="T179" i="2" s="1"/>
  <c r="AB155" i="2"/>
  <c r="AB203" i="2" s="1"/>
  <c r="AB131" i="2"/>
  <c r="AB179" i="2" s="1"/>
  <c r="AJ155" i="2"/>
  <c r="AJ203" i="2" s="1"/>
  <c r="AJ131" i="2"/>
  <c r="AJ179" i="2" s="1"/>
  <c r="AN155" i="2"/>
  <c r="AN203" i="2" s="1"/>
  <c r="AN131" i="2"/>
  <c r="AN179" i="2" s="1"/>
  <c r="AR155" i="2"/>
  <c r="AR203" i="2" s="1"/>
  <c r="AR131" i="2"/>
  <c r="AR179" i="2" s="1"/>
  <c r="AV155" i="2"/>
  <c r="AV203" i="2" s="1"/>
  <c r="AV131" i="2"/>
  <c r="AV179" i="2" s="1"/>
  <c r="AZ155" i="2"/>
  <c r="AZ203" i="2" s="1"/>
  <c r="AZ131" i="2"/>
  <c r="AZ179" i="2" s="1"/>
  <c r="BD155" i="2"/>
  <c r="BD203" i="2" s="1"/>
  <c r="BD131" i="2"/>
  <c r="BD179" i="2" s="1"/>
  <c r="BL155" i="2"/>
  <c r="BL203" i="2" s="1"/>
  <c r="BL131" i="2"/>
  <c r="BL179" i="2" s="1"/>
  <c r="BP155" i="2"/>
  <c r="BP203" i="2" s="1"/>
  <c r="BP131" i="2"/>
  <c r="BP179" i="2" s="1"/>
  <c r="BT155" i="2"/>
  <c r="BT203" i="2" s="1"/>
  <c r="BT131" i="2"/>
  <c r="BT179" i="2" s="1"/>
  <c r="BX155" i="2"/>
  <c r="BX203" i="2" s="1"/>
  <c r="BX131" i="2"/>
  <c r="BX179" i="2" s="1"/>
  <c r="CB155" i="2"/>
  <c r="CB203" i="2" s="1"/>
  <c r="CB131" i="2"/>
  <c r="CB179" i="2" s="1"/>
  <c r="CF155" i="2"/>
  <c r="CF203" i="2" s="1"/>
  <c r="CF131" i="2"/>
  <c r="CF179" i="2" s="1"/>
  <c r="CJ155" i="2"/>
  <c r="CJ131" i="2"/>
  <c r="CJ179" i="2" s="1"/>
  <c r="CN155" i="2"/>
  <c r="CN203" i="2" s="1"/>
  <c r="CN131" i="2"/>
  <c r="CN179" i="2" s="1"/>
  <c r="CR155" i="2"/>
  <c r="CR203" i="2" s="1"/>
  <c r="CR131" i="2"/>
  <c r="CR179" i="2" s="1"/>
  <c r="CV155" i="2"/>
  <c r="CV203" i="2" s="1"/>
  <c r="CV131" i="2"/>
  <c r="CV179" i="2" s="1"/>
  <c r="C156" i="2"/>
  <c r="C132" i="2"/>
  <c r="C180" i="2" s="1"/>
  <c r="G156" i="2"/>
  <c r="G204" i="2" s="1"/>
  <c r="G132" i="2"/>
  <c r="G180" i="2" s="1"/>
  <c r="K156" i="2"/>
  <c r="K204" i="2" s="1"/>
  <c r="K132" i="2"/>
  <c r="K180" i="2" s="1"/>
  <c r="O156" i="2"/>
  <c r="O204" i="2" s="1"/>
  <c r="O132" i="2"/>
  <c r="O180" i="2" s="1"/>
  <c r="S156" i="2"/>
  <c r="S204" i="2" s="1"/>
  <c r="S132" i="2"/>
  <c r="S180" i="2" s="1"/>
  <c r="W156" i="2"/>
  <c r="W204" i="2" s="1"/>
  <c r="W132" i="2"/>
  <c r="W180" i="2" s="1"/>
  <c r="AA156" i="2"/>
  <c r="AA204" i="2" s="1"/>
  <c r="AA132" i="2"/>
  <c r="AA180" i="2" s="1"/>
  <c r="AE156" i="2"/>
  <c r="AE204" i="2" s="1"/>
  <c r="AE132" i="2"/>
  <c r="AE180" i="2" s="1"/>
  <c r="AI156" i="2"/>
  <c r="AI204" i="2" s="1"/>
  <c r="AI132" i="2"/>
  <c r="AI180" i="2" s="1"/>
  <c r="AM156" i="2"/>
  <c r="AM204" i="2" s="1"/>
  <c r="AM132" i="2"/>
  <c r="AM180" i="2" s="1"/>
  <c r="AQ156" i="2"/>
  <c r="AQ204" i="2" s="1"/>
  <c r="AQ132" i="2"/>
  <c r="AQ180" i="2" s="1"/>
  <c r="AU156" i="2"/>
  <c r="AU204" i="2" s="1"/>
  <c r="AU132" i="2"/>
  <c r="AU180" i="2" s="1"/>
  <c r="AY156" i="2"/>
  <c r="AY204" i="2" s="1"/>
  <c r="AY132" i="2"/>
  <c r="AY180" i="2" s="1"/>
  <c r="BC156" i="2"/>
  <c r="BC204" i="2" s="1"/>
  <c r="BC132" i="2"/>
  <c r="BC180" i="2" s="1"/>
  <c r="BG156" i="2"/>
  <c r="BG204" i="2" s="1"/>
  <c r="BG132" i="2"/>
  <c r="BG180" i="2" s="1"/>
  <c r="BK156" i="2"/>
  <c r="BK204" i="2" s="1"/>
  <c r="BK132" i="2"/>
  <c r="BK180" i="2" s="1"/>
  <c r="BO156" i="2"/>
  <c r="BO204" i="2" s="1"/>
  <c r="BO132" i="2"/>
  <c r="BO180" i="2" s="1"/>
  <c r="BS156" i="2"/>
  <c r="BS204" i="2" s="1"/>
  <c r="BS132" i="2"/>
  <c r="BS180" i="2" s="1"/>
  <c r="BW156" i="2"/>
  <c r="BW204" i="2" s="1"/>
  <c r="BW132" i="2"/>
  <c r="BW180" i="2" s="1"/>
  <c r="CA156" i="2"/>
  <c r="CA204" i="2" s="1"/>
  <c r="CA132" i="2"/>
  <c r="CA180" i="2" s="1"/>
  <c r="CE156" i="2"/>
  <c r="CE204" i="2" s="1"/>
  <c r="CE132" i="2"/>
  <c r="CE180" i="2" s="1"/>
  <c r="CI156" i="2"/>
  <c r="CI204" i="2" s="1"/>
  <c r="CI132" i="2"/>
  <c r="CI180" i="2" s="1"/>
  <c r="CM156" i="2"/>
  <c r="CM204" i="2" s="1"/>
  <c r="CM132" i="2"/>
  <c r="CM180" i="2" s="1"/>
  <c r="CQ156" i="2"/>
  <c r="CQ204" i="2" s="1"/>
  <c r="CQ132" i="2"/>
  <c r="CQ180" i="2" s="1"/>
  <c r="CU156" i="2"/>
  <c r="CU204" i="2" s="1"/>
  <c r="CU132" i="2"/>
  <c r="CU180" i="2" s="1"/>
  <c r="CY156" i="2"/>
  <c r="CY204" i="2" s="1"/>
  <c r="CY132" i="2"/>
  <c r="CY180" i="2" s="1"/>
  <c r="F157" i="2"/>
  <c r="F205" i="2" s="1"/>
  <c r="F133" i="2"/>
  <c r="F181" i="2" s="1"/>
  <c r="J157" i="2"/>
  <c r="J205" i="2" s="1"/>
  <c r="J133" i="2"/>
  <c r="J181" i="2" s="1"/>
  <c r="N157" i="2"/>
  <c r="N205" i="2" s="1"/>
  <c r="N133" i="2"/>
  <c r="N181" i="2" s="1"/>
  <c r="R157" i="2"/>
  <c r="R205" i="2" s="1"/>
  <c r="R133" i="2"/>
  <c r="R181" i="2" s="1"/>
  <c r="V157" i="2"/>
  <c r="V205" i="2" s="1"/>
  <c r="V133" i="2"/>
  <c r="V181" i="2" s="1"/>
  <c r="Z157" i="2"/>
  <c r="Z205" i="2" s="1"/>
  <c r="Z133" i="2"/>
  <c r="Z181" i="2" s="1"/>
  <c r="AD157" i="2"/>
  <c r="AD205" i="2" s="1"/>
  <c r="AD133" i="2"/>
  <c r="AD181" i="2" s="1"/>
  <c r="AH157" i="2"/>
  <c r="AH205" i="2" s="1"/>
  <c r="AH133" i="2"/>
  <c r="AH181" i="2" s="1"/>
  <c r="AL157" i="2"/>
  <c r="AL205" i="2" s="1"/>
  <c r="AL133" i="2"/>
  <c r="AL181" i="2" s="1"/>
  <c r="AP133" i="2"/>
  <c r="AP181" i="2" s="1"/>
  <c r="AP157" i="2"/>
  <c r="AP205" i="2" s="1"/>
  <c r="AT157" i="2"/>
  <c r="AT205" i="2" s="1"/>
  <c r="AT133" i="2"/>
  <c r="AT181" i="2" s="1"/>
  <c r="AX157" i="2"/>
  <c r="AX205" i="2" s="1"/>
  <c r="AX133" i="2"/>
  <c r="AX181" i="2" s="1"/>
  <c r="BB157" i="2"/>
  <c r="BB205" i="2" s="1"/>
  <c r="BB133" i="2"/>
  <c r="BB181" i="2" s="1"/>
  <c r="BF157" i="2"/>
  <c r="BF205" i="2" s="1"/>
  <c r="BF133" i="2"/>
  <c r="BF181" i="2" s="1"/>
  <c r="BJ157" i="2"/>
  <c r="BJ205" i="2" s="1"/>
  <c r="BJ133" i="2"/>
  <c r="BJ181" i="2" s="1"/>
  <c r="BN157" i="2"/>
  <c r="BN205" i="2" s="1"/>
  <c r="BN133" i="2"/>
  <c r="BN181" i="2" s="1"/>
  <c r="BR157" i="2"/>
  <c r="BR205" i="2" s="1"/>
  <c r="BR133" i="2"/>
  <c r="BR181" i="2" s="1"/>
  <c r="BV157" i="2"/>
  <c r="BV205" i="2" s="1"/>
  <c r="BV133" i="2"/>
  <c r="BV181" i="2" s="1"/>
  <c r="BZ157" i="2"/>
  <c r="BZ205" i="2" s="1"/>
  <c r="BZ133" i="2"/>
  <c r="BZ181" i="2" s="1"/>
  <c r="CD157" i="2"/>
  <c r="CD205" i="2" s="1"/>
  <c r="CD133" i="2"/>
  <c r="CD181" i="2" s="1"/>
  <c r="CH157" i="2"/>
  <c r="CH205" i="2" s="1"/>
  <c r="CH133" i="2"/>
  <c r="CH181" i="2" s="1"/>
  <c r="CL157" i="2"/>
  <c r="CL205" i="2" s="1"/>
  <c r="CL133" i="2"/>
  <c r="CL181" i="2" s="1"/>
  <c r="CP157" i="2"/>
  <c r="CP205" i="2" s="1"/>
  <c r="CP133" i="2"/>
  <c r="CP181" i="2" s="1"/>
  <c r="CT157" i="2"/>
  <c r="CT205" i="2" s="1"/>
  <c r="CT133" i="2"/>
  <c r="CT181" i="2" s="1"/>
  <c r="CX157" i="2"/>
  <c r="CX205" i="2" s="1"/>
  <c r="CX133" i="2"/>
  <c r="CX181" i="2" s="1"/>
  <c r="E158" i="2"/>
  <c r="E206" i="2" s="1"/>
  <c r="E134" i="2"/>
  <c r="E182" i="2" s="1"/>
  <c r="I158" i="2"/>
  <c r="I206" i="2" s="1"/>
  <c r="I134" i="2"/>
  <c r="I182" i="2" s="1"/>
  <c r="M158" i="2"/>
  <c r="M206" i="2" s="1"/>
  <c r="M134" i="2"/>
  <c r="M182" i="2" s="1"/>
  <c r="Q158" i="2"/>
  <c r="Q206" i="2" s="1"/>
  <c r="Q134" i="2"/>
  <c r="Q182" i="2" s="1"/>
  <c r="U158" i="2"/>
  <c r="U206" i="2" s="1"/>
  <c r="U134" i="2"/>
  <c r="U182" i="2" s="1"/>
  <c r="Y158" i="2"/>
  <c r="Y206" i="2" s="1"/>
  <c r="Y134" i="2"/>
  <c r="Y182" i="2" s="1"/>
  <c r="AC158" i="2"/>
  <c r="AC206" i="2" s="1"/>
  <c r="AC134" i="2"/>
  <c r="AC182" i="2" s="1"/>
  <c r="AG158" i="2"/>
  <c r="AG206" i="2" s="1"/>
  <c r="AG134" i="2"/>
  <c r="AG182" i="2" s="1"/>
  <c r="AK158" i="2"/>
  <c r="AK206" i="2" s="1"/>
  <c r="AK134" i="2"/>
  <c r="AK182" i="2" s="1"/>
  <c r="AO158" i="2"/>
  <c r="AO206" i="2" s="1"/>
  <c r="AO134" i="2"/>
  <c r="AO182" i="2" s="1"/>
  <c r="AS158" i="2"/>
  <c r="AS206" i="2" s="1"/>
  <c r="AS134" i="2"/>
  <c r="AS182" i="2" s="1"/>
  <c r="AW158" i="2"/>
  <c r="AW206" i="2" s="1"/>
  <c r="AW134" i="2"/>
  <c r="AW182" i="2" s="1"/>
  <c r="BA158" i="2"/>
  <c r="BA206" i="2" s="1"/>
  <c r="BA134" i="2"/>
  <c r="BA182" i="2" s="1"/>
  <c r="BE158" i="2"/>
  <c r="BE206" i="2" s="1"/>
  <c r="BE134" i="2"/>
  <c r="BE182" i="2" s="1"/>
  <c r="BI158" i="2"/>
  <c r="BI206" i="2" s="1"/>
  <c r="BI134" i="2"/>
  <c r="BI182" i="2" s="1"/>
  <c r="BM158" i="2"/>
  <c r="BM206" i="2" s="1"/>
  <c r="BM134" i="2"/>
  <c r="BM182" i="2" s="1"/>
  <c r="BQ158" i="2"/>
  <c r="BQ206" i="2" s="1"/>
  <c r="BQ134" i="2"/>
  <c r="BQ182" i="2" s="1"/>
  <c r="BU158" i="2"/>
  <c r="BU206" i="2" s="1"/>
  <c r="BU134" i="2"/>
  <c r="BU182" i="2" s="1"/>
  <c r="BY158" i="2"/>
  <c r="BY206" i="2" s="1"/>
  <c r="BY134" i="2"/>
  <c r="BY182" i="2" s="1"/>
  <c r="CC158" i="2"/>
  <c r="CC206" i="2" s="1"/>
  <c r="CC134" i="2"/>
  <c r="CC182" i="2" s="1"/>
  <c r="CG158" i="2"/>
  <c r="CG206" i="2" s="1"/>
  <c r="CG134" i="2"/>
  <c r="CG182" i="2" s="1"/>
  <c r="CK158" i="2"/>
  <c r="CK206" i="2" s="1"/>
  <c r="CK134" i="2"/>
  <c r="CK182" i="2" s="1"/>
  <c r="CO158" i="2"/>
  <c r="CO206" i="2" s="1"/>
  <c r="CO134" i="2"/>
  <c r="CO182" i="2" s="1"/>
  <c r="CS158" i="2"/>
  <c r="CS134" i="2"/>
  <c r="CS182" i="2" s="1"/>
  <c r="CW158" i="2"/>
  <c r="CW206" i="2" s="1"/>
  <c r="CW134" i="2"/>
  <c r="CW182" i="2" s="1"/>
  <c r="D159" i="2"/>
  <c r="D207" i="2" s="1"/>
  <c r="D135" i="2"/>
  <c r="D183" i="2" s="1"/>
  <c r="H159" i="2"/>
  <c r="H207" i="2" s="1"/>
  <c r="H135" i="2"/>
  <c r="H183" i="2" s="1"/>
  <c r="L159" i="2"/>
  <c r="L207" i="2" s="1"/>
  <c r="L135" i="2"/>
  <c r="L183" i="2" s="1"/>
  <c r="P159" i="2"/>
  <c r="P207" i="2" s="1"/>
  <c r="P135" i="2"/>
  <c r="P183" i="2" s="1"/>
  <c r="T159" i="2"/>
  <c r="T207" i="2" s="1"/>
  <c r="T135" i="2"/>
  <c r="T183" i="2" s="1"/>
  <c r="X159" i="2"/>
  <c r="X207" i="2" s="1"/>
  <c r="X135" i="2"/>
  <c r="X183" i="2" s="1"/>
  <c r="AB159" i="2"/>
  <c r="AB207" i="2" s="1"/>
  <c r="AB135" i="2"/>
  <c r="AB183" i="2" s="1"/>
  <c r="AF159" i="2"/>
  <c r="AF207" i="2" s="1"/>
  <c r="AF135" i="2"/>
  <c r="AF183" i="2" s="1"/>
  <c r="AJ159" i="2"/>
  <c r="AJ207" i="2" s="1"/>
  <c r="AJ135" i="2"/>
  <c r="AJ183" i="2" s="1"/>
  <c r="AN159" i="2"/>
  <c r="AN207" i="2" s="1"/>
  <c r="AN135" i="2"/>
  <c r="AN183" i="2" s="1"/>
  <c r="AR159" i="2"/>
  <c r="AR207" i="2" s="1"/>
  <c r="AR135" i="2"/>
  <c r="AR183" i="2" s="1"/>
  <c r="AV159" i="2"/>
  <c r="AV207" i="2" s="1"/>
  <c r="AV135" i="2"/>
  <c r="AV183" i="2" s="1"/>
  <c r="AZ159" i="2"/>
  <c r="AZ207" i="2" s="1"/>
  <c r="AZ135" i="2"/>
  <c r="AZ183" i="2" s="1"/>
  <c r="BD159" i="2"/>
  <c r="BD207" i="2" s="1"/>
  <c r="BD135" i="2"/>
  <c r="BD183" i="2" s="1"/>
  <c r="BH159" i="2"/>
  <c r="BH207" i="2" s="1"/>
  <c r="BH135" i="2"/>
  <c r="BH183" i="2" s="1"/>
  <c r="BL159" i="2"/>
  <c r="BL207" i="2" s="1"/>
  <c r="BL135" i="2"/>
  <c r="BL183" i="2" s="1"/>
  <c r="BP159" i="2"/>
  <c r="BP207" i="2" s="1"/>
  <c r="BP135" i="2"/>
  <c r="BP183" i="2" s="1"/>
  <c r="BT159" i="2"/>
  <c r="BT207" i="2" s="1"/>
  <c r="BT135" i="2"/>
  <c r="BT183" i="2" s="1"/>
  <c r="BX159" i="2"/>
  <c r="BX135" i="2"/>
  <c r="BX183" i="2" s="1"/>
  <c r="CB159" i="2"/>
  <c r="CB207" i="2" s="1"/>
  <c r="CB135" i="2"/>
  <c r="CB183" i="2" s="1"/>
  <c r="CF159" i="2"/>
  <c r="CF207" i="2" s="1"/>
  <c r="CF135" i="2"/>
  <c r="CF183" i="2" s="1"/>
  <c r="CJ159" i="2"/>
  <c r="CJ207" i="2" s="1"/>
  <c r="CJ135" i="2"/>
  <c r="CJ183" i="2" s="1"/>
  <c r="CN159" i="2"/>
  <c r="CN207" i="2" s="1"/>
  <c r="CN135" i="2"/>
  <c r="CN183" i="2" s="1"/>
  <c r="CR159" i="2"/>
  <c r="CR135" i="2"/>
  <c r="CR183" i="2" s="1"/>
  <c r="CV159" i="2"/>
  <c r="CV207" i="2" s="1"/>
  <c r="CV135" i="2"/>
  <c r="CV183" i="2" s="1"/>
  <c r="C160" i="2"/>
  <c r="C136" i="2"/>
  <c r="C184" i="2" s="1"/>
  <c r="G160" i="2"/>
  <c r="G208" i="2" s="1"/>
  <c r="G136" i="2"/>
  <c r="G184" i="2" s="1"/>
  <c r="K160" i="2"/>
  <c r="K208" i="2" s="1"/>
  <c r="K136" i="2"/>
  <c r="K184" i="2" s="1"/>
  <c r="O160" i="2"/>
  <c r="O208" i="2" s="1"/>
  <c r="O136" i="2"/>
  <c r="O184" i="2" s="1"/>
  <c r="S160" i="2"/>
  <c r="S208" i="2" s="1"/>
  <c r="S136" i="2"/>
  <c r="S184" i="2" s="1"/>
  <c r="W160" i="2"/>
  <c r="W208" i="2" s="1"/>
  <c r="W136" i="2"/>
  <c r="W184" i="2" s="1"/>
  <c r="AA160" i="2"/>
  <c r="AA208" i="2" s="1"/>
  <c r="AA136" i="2"/>
  <c r="AA184" i="2" s="1"/>
  <c r="AE160" i="2"/>
  <c r="AE208" i="2" s="1"/>
  <c r="AE136" i="2"/>
  <c r="AE184" i="2" s="1"/>
  <c r="AI160" i="2"/>
  <c r="AI208" i="2" s="1"/>
  <c r="AI136" i="2"/>
  <c r="AI184" i="2" s="1"/>
  <c r="AM160" i="2"/>
  <c r="AM208" i="2" s="1"/>
  <c r="AM136" i="2"/>
  <c r="AM184" i="2" s="1"/>
  <c r="AQ160" i="2"/>
  <c r="AQ208" i="2" s="1"/>
  <c r="AQ136" i="2"/>
  <c r="AQ184" i="2" s="1"/>
  <c r="AU160" i="2"/>
  <c r="AU208" i="2" s="1"/>
  <c r="AU136" i="2"/>
  <c r="AU184" i="2" s="1"/>
  <c r="AY160" i="2"/>
  <c r="AY208" i="2" s="1"/>
  <c r="AY136" i="2"/>
  <c r="AY184" i="2" s="1"/>
  <c r="BC160" i="2"/>
  <c r="BC208" i="2" s="1"/>
  <c r="BC136" i="2"/>
  <c r="BC184" i="2" s="1"/>
  <c r="BG160" i="2"/>
  <c r="BG208" i="2" s="1"/>
  <c r="BG136" i="2"/>
  <c r="BG184" i="2" s="1"/>
  <c r="BK160" i="2"/>
  <c r="BK208" i="2" s="1"/>
  <c r="BK136" i="2"/>
  <c r="BK184" i="2" s="1"/>
  <c r="BO160" i="2"/>
  <c r="BO208" i="2" s="1"/>
  <c r="BO136" i="2"/>
  <c r="BO184" i="2" s="1"/>
  <c r="BS160" i="2"/>
  <c r="BS208" i="2" s="1"/>
  <c r="BS136" i="2"/>
  <c r="BS184" i="2" s="1"/>
  <c r="BW160" i="2"/>
  <c r="BW208" i="2" s="1"/>
  <c r="BW136" i="2"/>
  <c r="BW184" i="2" s="1"/>
  <c r="CA160" i="2"/>
  <c r="CA208" i="2" s="1"/>
  <c r="CA136" i="2"/>
  <c r="CA184" i="2" s="1"/>
  <c r="CE160" i="2"/>
  <c r="CE208" i="2" s="1"/>
  <c r="CE136" i="2"/>
  <c r="CE184" i="2" s="1"/>
  <c r="CI160" i="2"/>
  <c r="CI208" i="2" s="1"/>
  <c r="CI136" i="2"/>
  <c r="CI184" i="2" s="1"/>
  <c r="CM160" i="2"/>
  <c r="CM208" i="2" s="1"/>
  <c r="CM136" i="2"/>
  <c r="CM184" i="2" s="1"/>
  <c r="CQ160" i="2"/>
  <c r="CQ208" i="2" s="1"/>
  <c r="CQ136" i="2"/>
  <c r="CQ184" i="2" s="1"/>
  <c r="CU160" i="2"/>
  <c r="CU208" i="2" s="1"/>
  <c r="CU136" i="2"/>
  <c r="CU184" i="2" s="1"/>
  <c r="CY160" i="2"/>
  <c r="CY208" i="2" s="1"/>
  <c r="CY136" i="2"/>
  <c r="CY184" i="2" s="1"/>
  <c r="F161" i="2"/>
  <c r="F209" i="2" s="1"/>
  <c r="F137" i="2"/>
  <c r="F185" i="2" s="1"/>
  <c r="J161" i="2"/>
  <c r="J209" i="2" s="1"/>
  <c r="J137" i="2"/>
  <c r="J185" i="2" s="1"/>
  <c r="N161" i="2"/>
  <c r="N209" i="2" s="1"/>
  <c r="N137" i="2"/>
  <c r="N185" i="2" s="1"/>
  <c r="R161" i="2"/>
  <c r="R209" i="2" s="1"/>
  <c r="R137" i="2"/>
  <c r="R185" i="2" s="1"/>
  <c r="V161" i="2"/>
  <c r="V209" i="2" s="1"/>
  <c r="V137" i="2"/>
  <c r="V185" i="2" s="1"/>
  <c r="Z161" i="2"/>
  <c r="Z209" i="2" s="1"/>
  <c r="Z137" i="2"/>
  <c r="Z185" i="2" s="1"/>
  <c r="AD161" i="2"/>
  <c r="AD209" i="2" s="1"/>
  <c r="AD137" i="2"/>
  <c r="AD185" i="2" s="1"/>
  <c r="AH161" i="2"/>
  <c r="AH209" i="2" s="1"/>
  <c r="AH137" i="2"/>
  <c r="AH185" i="2" s="1"/>
  <c r="AL161" i="2"/>
  <c r="AL209" i="2" s="1"/>
  <c r="AL137" i="2"/>
  <c r="AL185" i="2" s="1"/>
  <c r="AP161" i="2"/>
  <c r="AP209" i="2" s="1"/>
  <c r="AP137" i="2"/>
  <c r="AP185" i="2" s="1"/>
  <c r="AT161" i="2"/>
  <c r="AT209" i="2" s="1"/>
  <c r="AT137" i="2"/>
  <c r="AT185" i="2" s="1"/>
  <c r="AX161" i="2"/>
  <c r="AX209" i="2" s="1"/>
  <c r="AX137" i="2"/>
  <c r="AX185" i="2" s="1"/>
  <c r="BB161" i="2"/>
  <c r="BB209" i="2" s="1"/>
  <c r="BB137" i="2"/>
  <c r="BB185" i="2" s="1"/>
  <c r="BF161" i="2"/>
  <c r="BF209" i="2" s="1"/>
  <c r="BF137" i="2"/>
  <c r="BF185" i="2" s="1"/>
  <c r="BJ161" i="2"/>
  <c r="BJ209" i="2" s="1"/>
  <c r="BJ137" i="2"/>
  <c r="BJ185" i="2" s="1"/>
  <c r="BN161" i="2"/>
  <c r="BN209" i="2" s="1"/>
  <c r="BN137" i="2"/>
  <c r="BN185" i="2" s="1"/>
  <c r="BR161" i="2"/>
  <c r="BR209" i="2" s="1"/>
  <c r="BR137" i="2"/>
  <c r="BR185" i="2" s="1"/>
  <c r="BV161" i="2"/>
  <c r="BV137" i="2"/>
  <c r="BV185" i="2" s="1"/>
  <c r="BZ161" i="2"/>
  <c r="BZ209" i="2" s="1"/>
  <c r="BZ137" i="2"/>
  <c r="BZ185" i="2" s="1"/>
  <c r="CD161" i="2"/>
  <c r="CD209" i="2" s="1"/>
  <c r="CD137" i="2"/>
  <c r="CD185" i="2" s="1"/>
  <c r="CH161" i="2"/>
  <c r="CH209" i="2" s="1"/>
  <c r="CH137" i="2"/>
  <c r="CH185" i="2" s="1"/>
  <c r="CL161" i="2"/>
  <c r="CL209" i="2" s="1"/>
  <c r="CL137" i="2"/>
  <c r="CL185" i="2" s="1"/>
  <c r="CP161" i="2"/>
  <c r="CP209" i="2" s="1"/>
  <c r="CP137" i="2"/>
  <c r="CP185" i="2" s="1"/>
  <c r="CT161" i="2"/>
  <c r="CT137" i="2"/>
  <c r="CT185" i="2" s="1"/>
  <c r="CX161" i="2"/>
  <c r="CX209" i="2" s="1"/>
  <c r="CX137" i="2"/>
  <c r="CX185" i="2" s="1"/>
  <c r="E162" i="2"/>
  <c r="E210" i="2" s="1"/>
  <c r="E138" i="2"/>
  <c r="E186" i="2" s="1"/>
  <c r="I162" i="2"/>
  <c r="I210" i="2" s="1"/>
  <c r="I138" i="2"/>
  <c r="I186" i="2" s="1"/>
  <c r="M162" i="2"/>
  <c r="M210" i="2" s="1"/>
  <c r="M138" i="2"/>
  <c r="M186" i="2" s="1"/>
  <c r="Q162" i="2"/>
  <c r="Q210" i="2" s="1"/>
  <c r="Q138" i="2"/>
  <c r="Q186" i="2" s="1"/>
  <c r="U162" i="2"/>
  <c r="U210" i="2" s="1"/>
  <c r="U138" i="2"/>
  <c r="U186" i="2" s="1"/>
  <c r="Y162" i="2"/>
  <c r="Y210" i="2" s="1"/>
  <c r="Y138" i="2"/>
  <c r="Y186" i="2" s="1"/>
  <c r="AC162" i="2"/>
  <c r="AC210" i="2" s="1"/>
  <c r="AC138" i="2"/>
  <c r="AC186" i="2" s="1"/>
  <c r="AG162" i="2"/>
  <c r="AG210" i="2" s="1"/>
  <c r="AG138" i="2"/>
  <c r="AG186" i="2" s="1"/>
  <c r="AK162" i="2"/>
  <c r="AK210" i="2" s="1"/>
  <c r="AK138" i="2"/>
  <c r="AK186" i="2" s="1"/>
  <c r="AO162" i="2"/>
  <c r="AO210" i="2" s="1"/>
  <c r="AO138" i="2"/>
  <c r="AO186" i="2" s="1"/>
  <c r="AS162" i="2"/>
  <c r="AS210" i="2" s="1"/>
  <c r="AS138" i="2"/>
  <c r="AS186" i="2" s="1"/>
  <c r="AW162" i="2"/>
  <c r="AW210" i="2" s="1"/>
  <c r="AW138" i="2"/>
  <c r="AW186" i="2" s="1"/>
  <c r="BA162" i="2"/>
  <c r="BA210" i="2" s="1"/>
  <c r="BA138" i="2"/>
  <c r="BA186" i="2" s="1"/>
  <c r="BE162" i="2"/>
  <c r="BE210" i="2" s="1"/>
  <c r="BE138" i="2"/>
  <c r="BE186" i="2" s="1"/>
  <c r="BI162" i="2"/>
  <c r="BI138" i="2"/>
  <c r="BI186" i="2" s="1"/>
  <c r="BM162" i="2"/>
  <c r="BM210" i="2" s="1"/>
  <c r="BM138" i="2"/>
  <c r="BM186" i="2" s="1"/>
  <c r="BQ162" i="2"/>
  <c r="BQ210" i="2" s="1"/>
  <c r="BQ138" i="2"/>
  <c r="BQ186" i="2" s="1"/>
  <c r="BU162" i="2"/>
  <c r="BU210" i="2" s="1"/>
  <c r="BU138" i="2"/>
  <c r="BU186" i="2" s="1"/>
  <c r="BY162" i="2"/>
  <c r="BY210" i="2" s="1"/>
  <c r="BY138" i="2"/>
  <c r="BY186" i="2" s="1"/>
  <c r="CC162" i="2"/>
  <c r="CC210" i="2" s="1"/>
  <c r="CC138" i="2"/>
  <c r="CC186" i="2" s="1"/>
  <c r="CG162" i="2"/>
  <c r="CG210" i="2" s="1"/>
  <c r="CG138" i="2"/>
  <c r="CG186" i="2" s="1"/>
  <c r="CK162" i="2"/>
  <c r="CK210" i="2" s="1"/>
  <c r="CK138" i="2"/>
  <c r="CK186" i="2" s="1"/>
  <c r="CO162" i="2"/>
  <c r="CO210" i="2" s="1"/>
  <c r="CO138" i="2"/>
  <c r="CO186" i="2" s="1"/>
  <c r="CS162" i="2"/>
  <c r="CS210" i="2" s="1"/>
  <c r="CS138" i="2"/>
  <c r="CS186" i="2" s="1"/>
  <c r="CW162" i="2"/>
  <c r="CW210" i="2" s="1"/>
  <c r="CW138" i="2"/>
  <c r="CW186" i="2" s="1"/>
  <c r="D163" i="2"/>
  <c r="D211" i="2" s="1"/>
  <c r="D139" i="2"/>
  <c r="D187" i="2" s="1"/>
  <c r="H163" i="2"/>
  <c r="H211" i="2" s="1"/>
  <c r="H139" i="2"/>
  <c r="H187" i="2" s="1"/>
  <c r="L163" i="2"/>
  <c r="L211" i="2" s="1"/>
  <c r="L139" i="2"/>
  <c r="L187" i="2" s="1"/>
  <c r="P163" i="2"/>
  <c r="P211" i="2" s="1"/>
  <c r="P139" i="2"/>
  <c r="P187" i="2" s="1"/>
  <c r="T163" i="2"/>
  <c r="T211" i="2" s="1"/>
  <c r="T139" i="2"/>
  <c r="T187" i="2" s="1"/>
  <c r="X163" i="2"/>
  <c r="X211" i="2" s="1"/>
  <c r="X139" i="2"/>
  <c r="X187" i="2" s="1"/>
  <c r="AB163" i="2"/>
  <c r="AB211" i="2" s="1"/>
  <c r="AB139" i="2"/>
  <c r="AB187" i="2" s="1"/>
  <c r="AF163" i="2"/>
  <c r="AF211" i="2" s="1"/>
  <c r="AF139" i="2"/>
  <c r="AF187" i="2" s="1"/>
  <c r="AJ163" i="2"/>
  <c r="AJ211" i="2" s="1"/>
  <c r="AJ139" i="2"/>
  <c r="AJ187" i="2" s="1"/>
  <c r="AN163" i="2"/>
  <c r="AN211" i="2" s="1"/>
  <c r="AN139" i="2"/>
  <c r="AN187" i="2" s="1"/>
  <c r="AR163" i="2"/>
  <c r="AR211" i="2" s="1"/>
  <c r="AR139" i="2"/>
  <c r="AR187" i="2" s="1"/>
  <c r="AV163" i="2"/>
  <c r="AV211" i="2" s="1"/>
  <c r="AV139" i="2"/>
  <c r="AV187" i="2" s="1"/>
  <c r="AZ163" i="2"/>
  <c r="AZ211" i="2" s="1"/>
  <c r="AZ139" i="2"/>
  <c r="AZ187" i="2" s="1"/>
  <c r="BD163" i="2"/>
  <c r="BD211" i="2" s="1"/>
  <c r="BD139" i="2"/>
  <c r="BD187" i="2" s="1"/>
  <c r="BH163" i="2"/>
  <c r="BH211" i="2" s="1"/>
  <c r="BH139" i="2"/>
  <c r="BH187" i="2" s="1"/>
  <c r="BL163" i="2"/>
  <c r="BL211" i="2" s="1"/>
  <c r="BL139" i="2"/>
  <c r="BL187" i="2" s="1"/>
  <c r="BP163" i="2"/>
  <c r="BP211" i="2" s="1"/>
  <c r="BP139" i="2"/>
  <c r="BP187" i="2" s="1"/>
  <c r="BT163" i="2"/>
  <c r="BT211" i="2" s="1"/>
  <c r="BT139" i="2"/>
  <c r="BT187" i="2" s="1"/>
  <c r="BX163" i="2"/>
  <c r="BX211" i="2" s="1"/>
  <c r="BX139" i="2"/>
  <c r="BX187" i="2" s="1"/>
  <c r="CB139" i="2"/>
  <c r="CB187" i="2" s="1"/>
  <c r="CB163" i="2"/>
  <c r="CB211" i="2" s="1"/>
  <c r="CF163" i="2"/>
  <c r="CF211" i="2" s="1"/>
  <c r="CF139" i="2"/>
  <c r="CF187" i="2" s="1"/>
  <c r="CJ163" i="2"/>
  <c r="CJ211" i="2" s="1"/>
  <c r="CJ139" i="2"/>
  <c r="CJ187" i="2" s="1"/>
  <c r="CN163" i="2"/>
  <c r="CN211" i="2" s="1"/>
  <c r="CN139" i="2"/>
  <c r="CN187" i="2" s="1"/>
  <c r="CR163" i="2"/>
  <c r="CR211" i="2" s="1"/>
  <c r="CR139" i="2"/>
  <c r="CR187" i="2" s="1"/>
  <c r="CV163" i="2"/>
  <c r="CV211" i="2" s="1"/>
  <c r="CV139" i="2"/>
  <c r="CV187" i="2" s="1"/>
  <c r="C164" i="2"/>
  <c r="C140" i="2"/>
  <c r="C188" i="2" s="1"/>
  <c r="G164" i="2"/>
  <c r="G212" i="2" s="1"/>
  <c r="G140" i="2"/>
  <c r="G188" i="2" s="1"/>
  <c r="K164" i="2"/>
  <c r="K212" i="2" s="1"/>
  <c r="K140" i="2"/>
  <c r="K188" i="2" s="1"/>
  <c r="O164" i="2"/>
  <c r="O212" i="2" s="1"/>
  <c r="O140" i="2"/>
  <c r="O188" i="2" s="1"/>
  <c r="S164" i="2"/>
  <c r="S212" i="2" s="1"/>
  <c r="S140" i="2"/>
  <c r="S188" i="2" s="1"/>
  <c r="W164" i="2"/>
  <c r="W212" i="2" s="1"/>
  <c r="W140" i="2"/>
  <c r="W188" i="2" s="1"/>
  <c r="AA164" i="2"/>
  <c r="AA212" i="2" s="1"/>
  <c r="AA140" i="2"/>
  <c r="AA188" i="2" s="1"/>
  <c r="AE164" i="2"/>
  <c r="AE212" i="2" s="1"/>
  <c r="AE140" i="2"/>
  <c r="AE188" i="2" s="1"/>
  <c r="AI164" i="2"/>
  <c r="AI212" i="2" s="1"/>
  <c r="AI140" i="2"/>
  <c r="AI188" i="2" s="1"/>
  <c r="AM164" i="2"/>
  <c r="AM212" i="2" s="1"/>
  <c r="AM140" i="2"/>
  <c r="AM188" i="2" s="1"/>
  <c r="AQ164" i="2"/>
  <c r="AQ212" i="2" s="1"/>
  <c r="AQ140" i="2"/>
  <c r="AQ188" i="2" s="1"/>
  <c r="AU164" i="2"/>
  <c r="AU212" i="2" s="1"/>
  <c r="AU140" i="2"/>
  <c r="AU188" i="2" s="1"/>
  <c r="AY164" i="2"/>
  <c r="AY212" i="2" s="1"/>
  <c r="AY140" i="2"/>
  <c r="AY188" i="2" s="1"/>
  <c r="BC164" i="2"/>
  <c r="BC212" i="2" s="1"/>
  <c r="BC140" i="2"/>
  <c r="BC188" i="2" s="1"/>
  <c r="BG164" i="2"/>
  <c r="BG212" i="2" s="1"/>
  <c r="BG140" i="2"/>
  <c r="BG188" i="2" s="1"/>
  <c r="BK164" i="2"/>
  <c r="BK212" i="2" s="1"/>
  <c r="BK140" i="2"/>
  <c r="BK188" i="2" s="1"/>
  <c r="BO164" i="2"/>
  <c r="BO212" i="2" s="1"/>
  <c r="BO140" i="2"/>
  <c r="BO188" i="2" s="1"/>
  <c r="BS164" i="2"/>
  <c r="BS212" i="2" s="1"/>
  <c r="BS140" i="2"/>
  <c r="BS188" i="2" s="1"/>
  <c r="BW164" i="2"/>
  <c r="BW212" i="2" s="1"/>
  <c r="BW140" i="2"/>
  <c r="BW188" i="2" s="1"/>
  <c r="CA164" i="2"/>
  <c r="CA212" i="2" s="1"/>
  <c r="CA140" i="2"/>
  <c r="CA188" i="2" s="1"/>
  <c r="CE164" i="2"/>
  <c r="CE212" i="2" s="1"/>
  <c r="CE140" i="2"/>
  <c r="CE188" i="2" s="1"/>
  <c r="CI164" i="2"/>
  <c r="CI212" i="2" s="1"/>
  <c r="CI140" i="2"/>
  <c r="CI188" i="2" s="1"/>
  <c r="CM164" i="2"/>
  <c r="CM212" i="2" s="1"/>
  <c r="CM140" i="2"/>
  <c r="CM188" i="2" s="1"/>
  <c r="CQ164" i="2"/>
  <c r="CQ212" i="2" s="1"/>
  <c r="CQ140" i="2"/>
  <c r="CQ188" i="2" s="1"/>
  <c r="CU164" i="2"/>
  <c r="CU212" i="2" s="1"/>
  <c r="CU140" i="2"/>
  <c r="CU188" i="2" s="1"/>
  <c r="CY164" i="2"/>
  <c r="CY212" i="2" s="1"/>
  <c r="CY140" i="2"/>
  <c r="CY188" i="2" s="1"/>
  <c r="F165" i="2"/>
  <c r="F213" i="2" s="1"/>
  <c r="F141" i="2"/>
  <c r="F189" i="2" s="1"/>
  <c r="J165" i="2"/>
  <c r="J213" i="2" s="1"/>
  <c r="J141" i="2"/>
  <c r="J189" i="2" s="1"/>
  <c r="N165" i="2"/>
  <c r="N213" i="2" s="1"/>
  <c r="N141" i="2"/>
  <c r="N189" i="2" s="1"/>
  <c r="R165" i="2"/>
  <c r="R213" i="2" s="1"/>
  <c r="R141" i="2"/>
  <c r="R189" i="2" s="1"/>
  <c r="V165" i="2"/>
  <c r="V213" i="2" s="1"/>
  <c r="V141" i="2"/>
  <c r="V189" i="2" s="1"/>
  <c r="Z165" i="2"/>
  <c r="Z213" i="2" s="1"/>
  <c r="Z141" i="2"/>
  <c r="Z189" i="2" s="1"/>
  <c r="AD165" i="2"/>
  <c r="AD213" i="2" s="1"/>
  <c r="AD141" i="2"/>
  <c r="AD189" i="2" s="1"/>
  <c r="AH165" i="2"/>
  <c r="AH213" i="2" s="1"/>
  <c r="AH141" i="2"/>
  <c r="AH189" i="2" s="1"/>
  <c r="AL165" i="2"/>
  <c r="AL213" i="2" s="1"/>
  <c r="AL141" i="2"/>
  <c r="AL189" i="2" s="1"/>
  <c r="AP165" i="2"/>
  <c r="AP213" i="2" s="1"/>
  <c r="AP141" i="2"/>
  <c r="AP189" i="2" s="1"/>
  <c r="AT165" i="2"/>
  <c r="AT213" i="2" s="1"/>
  <c r="AT141" i="2"/>
  <c r="AT189" i="2" s="1"/>
  <c r="AX165" i="2"/>
  <c r="AX213" i="2" s="1"/>
  <c r="AX141" i="2"/>
  <c r="AX189" i="2" s="1"/>
  <c r="BB165" i="2"/>
  <c r="BB213" i="2" s="1"/>
  <c r="BB141" i="2"/>
  <c r="BB189" i="2" s="1"/>
  <c r="BF165" i="2"/>
  <c r="BF213" i="2" s="1"/>
  <c r="BF141" i="2"/>
  <c r="BF189" i="2" s="1"/>
  <c r="BJ165" i="2"/>
  <c r="BJ213" i="2" s="1"/>
  <c r="BJ141" i="2"/>
  <c r="BJ189" i="2" s="1"/>
  <c r="BN165" i="2"/>
  <c r="BN213" i="2" s="1"/>
  <c r="BN141" i="2"/>
  <c r="BN189" i="2" s="1"/>
  <c r="BR165" i="2"/>
  <c r="BR213" i="2" s="1"/>
  <c r="BR141" i="2"/>
  <c r="BR189" i="2" s="1"/>
  <c r="BV165" i="2"/>
  <c r="BV213" i="2" s="1"/>
  <c r="BV141" i="2"/>
  <c r="BV189" i="2" s="1"/>
  <c r="BZ165" i="2"/>
  <c r="BZ213" i="2" s="1"/>
  <c r="BZ141" i="2"/>
  <c r="BZ189" i="2" s="1"/>
  <c r="CD165" i="2"/>
  <c r="CD213" i="2" s="1"/>
  <c r="CD141" i="2"/>
  <c r="CD189" i="2" s="1"/>
  <c r="CH165" i="2"/>
  <c r="CH213" i="2" s="1"/>
  <c r="CH141" i="2"/>
  <c r="CH189" i="2" s="1"/>
  <c r="CL165" i="2"/>
  <c r="CL213" i="2" s="1"/>
  <c r="CL141" i="2"/>
  <c r="CL189" i="2" s="1"/>
  <c r="CP165" i="2"/>
  <c r="CP213" i="2" s="1"/>
  <c r="CP141" i="2"/>
  <c r="CP189" i="2" s="1"/>
  <c r="CT165" i="2"/>
  <c r="CT213" i="2" s="1"/>
  <c r="CT141" i="2"/>
  <c r="CT189" i="2" s="1"/>
  <c r="CX165" i="2"/>
  <c r="CX213" i="2" s="1"/>
  <c r="CX141" i="2"/>
  <c r="CX189" i="2" s="1"/>
  <c r="E142" i="2"/>
  <c r="E190" i="2" s="1"/>
  <c r="E166" i="2"/>
  <c r="E214" i="2" s="1"/>
  <c r="I166" i="2"/>
  <c r="I214" i="2" s="1"/>
  <c r="I142" i="2"/>
  <c r="I190" i="2" s="1"/>
  <c r="M166" i="2"/>
  <c r="M214" i="2" s="1"/>
  <c r="M142" i="2"/>
  <c r="M190" i="2" s="1"/>
  <c r="Q166" i="2"/>
  <c r="Q214" i="2" s="1"/>
  <c r="Q142" i="2"/>
  <c r="Q190" i="2" s="1"/>
  <c r="U166" i="2"/>
  <c r="U214" i="2" s="1"/>
  <c r="U142" i="2"/>
  <c r="U190" i="2" s="1"/>
  <c r="Y166" i="2"/>
  <c r="Y214" i="2" s="1"/>
  <c r="Y142" i="2"/>
  <c r="Y190" i="2" s="1"/>
  <c r="AC166" i="2"/>
  <c r="AC214" i="2" s="1"/>
  <c r="AC142" i="2"/>
  <c r="AC190" i="2" s="1"/>
  <c r="AG166" i="2"/>
  <c r="AG214" i="2" s="1"/>
  <c r="AG142" i="2"/>
  <c r="AG190" i="2" s="1"/>
  <c r="AK166" i="2"/>
  <c r="AK214" i="2" s="1"/>
  <c r="AK142" i="2"/>
  <c r="AK190" i="2" s="1"/>
  <c r="AO166" i="2"/>
  <c r="AO214" i="2" s="1"/>
  <c r="AO142" i="2"/>
  <c r="AO190" i="2" s="1"/>
  <c r="AS166" i="2"/>
  <c r="AS214" i="2" s="1"/>
  <c r="AS142" i="2"/>
  <c r="AS190" i="2" s="1"/>
  <c r="AW166" i="2"/>
  <c r="AW214" i="2" s="1"/>
  <c r="AW142" i="2"/>
  <c r="AW190" i="2" s="1"/>
  <c r="BA166" i="2"/>
  <c r="BA214" i="2" s="1"/>
  <c r="BA142" i="2"/>
  <c r="BA190" i="2" s="1"/>
  <c r="BE166" i="2"/>
  <c r="BE214" i="2" s="1"/>
  <c r="BE142" i="2"/>
  <c r="BE190" i="2" s="1"/>
  <c r="BI166" i="2"/>
  <c r="BI214" i="2" s="1"/>
  <c r="BI142" i="2"/>
  <c r="BI190" i="2" s="1"/>
  <c r="BM166" i="2"/>
  <c r="BM214" i="2" s="1"/>
  <c r="BM142" i="2"/>
  <c r="BM190" i="2" s="1"/>
  <c r="BQ166" i="2"/>
  <c r="BQ214" i="2" s="1"/>
  <c r="BQ142" i="2"/>
  <c r="BQ190" i="2" s="1"/>
  <c r="BU166" i="2"/>
  <c r="BU214" i="2" s="1"/>
  <c r="BU142" i="2"/>
  <c r="BU190" i="2" s="1"/>
  <c r="BY166" i="2"/>
  <c r="BY214" i="2" s="1"/>
  <c r="BY142" i="2"/>
  <c r="BY190" i="2" s="1"/>
  <c r="CC166" i="2"/>
  <c r="CC214" i="2" s="1"/>
  <c r="CC142" i="2"/>
  <c r="CC190" i="2" s="1"/>
  <c r="CG166" i="2"/>
  <c r="CG214" i="2" s="1"/>
  <c r="CG142" i="2"/>
  <c r="CG190" i="2" s="1"/>
  <c r="CK166" i="2"/>
  <c r="CK214" i="2" s="1"/>
  <c r="CK142" i="2"/>
  <c r="CK190" i="2" s="1"/>
  <c r="CO166" i="2"/>
  <c r="CO214" i="2" s="1"/>
  <c r="CO142" i="2"/>
  <c r="CO190" i="2" s="1"/>
  <c r="CS166" i="2"/>
  <c r="CS214" i="2" s="1"/>
  <c r="CS142" i="2"/>
  <c r="CS190" i="2" s="1"/>
  <c r="CW166" i="2"/>
  <c r="CW214" i="2" s="1"/>
  <c r="CW142" i="2"/>
  <c r="CW190" i="2" s="1"/>
  <c r="D167" i="2"/>
  <c r="D215" i="2" s="1"/>
  <c r="D143" i="2"/>
  <c r="D191" i="2" s="1"/>
  <c r="H167" i="2"/>
  <c r="H215" i="2" s="1"/>
  <c r="H143" i="2"/>
  <c r="H191" i="2" s="1"/>
  <c r="L167" i="2"/>
  <c r="L215" i="2" s="1"/>
  <c r="L143" i="2"/>
  <c r="L191" i="2" s="1"/>
  <c r="P167" i="2"/>
  <c r="P215" i="2" s="1"/>
  <c r="P143" i="2"/>
  <c r="P191" i="2" s="1"/>
  <c r="T167" i="2"/>
  <c r="T215" i="2" s="1"/>
  <c r="T143" i="2"/>
  <c r="T191" i="2" s="1"/>
  <c r="X167" i="2"/>
  <c r="X215" i="2" s="1"/>
  <c r="X143" i="2"/>
  <c r="X191" i="2" s="1"/>
  <c r="AB167" i="2"/>
  <c r="AB215" i="2" s="1"/>
  <c r="AB143" i="2"/>
  <c r="AB191" i="2" s="1"/>
  <c r="AF167" i="2"/>
  <c r="AF215" i="2" s="1"/>
  <c r="AF143" i="2"/>
  <c r="AF191" i="2" s="1"/>
  <c r="AJ167" i="2"/>
  <c r="AJ215" i="2" s="1"/>
  <c r="AJ143" i="2"/>
  <c r="AJ191" i="2" s="1"/>
  <c r="AN167" i="2"/>
  <c r="AN215" i="2" s="1"/>
  <c r="AN143" i="2"/>
  <c r="AN191" i="2" s="1"/>
  <c r="AR167" i="2"/>
  <c r="AR215" i="2" s="1"/>
  <c r="AR143" i="2"/>
  <c r="AR191" i="2" s="1"/>
  <c r="AV167" i="2"/>
  <c r="AV215" i="2" s="1"/>
  <c r="AV143" i="2"/>
  <c r="AV191" i="2" s="1"/>
  <c r="AZ167" i="2"/>
  <c r="AZ215" i="2" s="1"/>
  <c r="AZ143" i="2"/>
  <c r="AZ191" i="2" s="1"/>
  <c r="BD167" i="2"/>
  <c r="BD215" i="2" s="1"/>
  <c r="BD143" i="2"/>
  <c r="BD191" i="2" s="1"/>
  <c r="BH167" i="2"/>
  <c r="BH215" i="2" s="1"/>
  <c r="BH143" i="2"/>
  <c r="BH191" i="2" s="1"/>
  <c r="BL167" i="2"/>
  <c r="BL215" i="2" s="1"/>
  <c r="BL143" i="2"/>
  <c r="BL191" i="2" s="1"/>
  <c r="BP167" i="2"/>
  <c r="BP215" i="2" s="1"/>
  <c r="BP143" i="2"/>
  <c r="BP191" i="2" s="1"/>
  <c r="BT167" i="2"/>
  <c r="BT215" i="2" s="1"/>
  <c r="BT143" i="2"/>
  <c r="BT191" i="2" s="1"/>
  <c r="BX167" i="2"/>
  <c r="BX215" i="2" s="1"/>
  <c r="BX143" i="2"/>
  <c r="BX191" i="2" s="1"/>
  <c r="CB167" i="2"/>
  <c r="CB215" i="2" s="1"/>
  <c r="CB143" i="2"/>
  <c r="CB191" i="2" s="1"/>
  <c r="CF167" i="2"/>
  <c r="CF215" i="2" s="1"/>
  <c r="CF143" i="2"/>
  <c r="CF191" i="2" s="1"/>
  <c r="CJ167" i="2"/>
  <c r="CJ215" i="2" s="1"/>
  <c r="CJ143" i="2"/>
  <c r="CJ191" i="2" s="1"/>
  <c r="CN167" i="2"/>
  <c r="CN215" i="2" s="1"/>
  <c r="CN143" i="2"/>
  <c r="CN191" i="2" s="1"/>
  <c r="CR167" i="2"/>
  <c r="CR215" i="2" s="1"/>
  <c r="CR143" i="2"/>
  <c r="CR191" i="2" s="1"/>
  <c r="CV167" i="2"/>
  <c r="CV215" i="2" s="1"/>
  <c r="CV143" i="2"/>
  <c r="CV191" i="2" s="1"/>
  <c r="C168" i="2"/>
  <c r="C144" i="2"/>
  <c r="C192" i="2" s="1"/>
  <c r="G168" i="2"/>
  <c r="G216" i="2" s="1"/>
  <c r="G144" i="2"/>
  <c r="G192" i="2" s="1"/>
  <c r="K168" i="2"/>
  <c r="K216" i="2" s="1"/>
  <c r="K144" i="2"/>
  <c r="K192" i="2" s="1"/>
  <c r="O168" i="2"/>
  <c r="O216" i="2" s="1"/>
  <c r="O144" i="2"/>
  <c r="O192" i="2" s="1"/>
  <c r="S168" i="2"/>
  <c r="S216" i="2" s="1"/>
  <c r="S144" i="2"/>
  <c r="S192" i="2" s="1"/>
  <c r="W168" i="2"/>
  <c r="W216" i="2" s="1"/>
  <c r="W144" i="2"/>
  <c r="W192" i="2" s="1"/>
  <c r="AA168" i="2"/>
  <c r="AA216" i="2" s="1"/>
  <c r="AA144" i="2"/>
  <c r="AA192" i="2" s="1"/>
  <c r="AE168" i="2"/>
  <c r="AE216" i="2" s="1"/>
  <c r="AE144" i="2"/>
  <c r="AE192" i="2" s="1"/>
  <c r="AI168" i="2"/>
  <c r="AI216" i="2" s="1"/>
  <c r="AI144" i="2"/>
  <c r="AI192" i="2" s="1"/>
  <c r="AM168" i="2"/>
  <c r="AM216" i="2" s="1"/>
  <c r="AM144" i="2"/>
  <c r="AM192" i="2" s="1"/>
  <c r="AQ168" i="2"/>
  <c r="AQ216" i="2" s="1"/>
  <c r="AQ144" i="2"/>
  <c r="AQ192" i="2" s="1"/>
  <c r="AU168" i="2"/>
  <c r="AU216" i="2" s="1"/>
  <c r="AU144" i="2"/>
  <c r="AU192" i="2" s="1"/>
  <c r="AY168" i="2"/>
  <c r="AY216" i="2" s="1"/>
  <c r="AY144" i="2"/>
  <c r="AY192" i="2" s="1"/>
  <c r="BC168" i="2"/>
  <c r="BC216" i="2" s="1"/>
  <c r="BC144" i="2"/>
  <c r="BC192" i="2" s="1"/>
  <c r="BG168" i="2"/>
  <c r="BG216" i="2" s="1"/>
  <c r="BG144" i="2"/>
  <c r="BG192" i="2" s="1"/>
  <c r="BK168" i="2"/>
  <c r="BK216" i="2" s="1"/>
  <c r="BK144" i="2"/>
  <c r="BK192" i="2" s="1"/>
  <c r="BO168" i="2"/>
  <c r="BO216" i="2" s="1"/>
  <c r="BO144" i="2"/>
  <c r="BO192" i="2" s="1"/>
  <c r="BS168" i="2"/>
  <c r="BS216" i="2" s="1"/>
  <c r="BS144" i="2"/>
  <c r="BS192" i="2" s="1"/>
  <c r="BW168" i="2"/>
  <c r="BW216" i="2" s="1"/>
  <c r="BW144" i="2"/>
  <c r="BW192" i="2" s="1"/>
  <c r="CA168" i="2"/>
  <c r="CA216" i="2" s="1"/>
  <c r="CA144" i="2"/>
  <c r="CA192" i="2" s="1"/>
  <c r="CE168" i="2"/>
  <c r="CE216" i="2" s="1"/>
  <c r="CE144" i="2"/>
  <c r="CE192" i="2" s="1"/>
  <c r="CI168" i="2"/>
  <c r="CI216" i="2" s="1"/>
  <c r="CI144" i="2"/>
  <c r="CI192" i="2" s="1"/>
  <c r="CM168" i="2"/>
  <c r="CM216" i="2" s="1"/>
  <c r="CM144" i="2"/>
  <c r="CM192" i="2" s="1"/>
  <c r="CQ168" i="2"/>
  <c r="CQ216" i="2" s="1"/>
  <c r="CQ144" i="2"/>
  <c r="CQ192" i="2" s="1"/>
  <c r="CU168" i="2"/>
  <c r="CU216" i="2" s="1"/>
  <c r="CU144" i="2"/>
  <c r="CU192" i="2" s="1"/>
  <c r="CY168" i="2"/>
  <c r="CY216" i="2" s="1"/>
  <c r="CY144" i="2"/>
  <c r="CY192" i="2" s="1"/>
  <c r="F169" i="2"/>
  <c r="F217" i="2" s="1"/>
  <c r="F145" i="2"/>
  <c r="F193" i="2" s="1"/>
  <c r="J169" i="2"/>
  <c r="J217" i="2" s="1"/>
  <c r="J145" i="2"/>
  <c r="J193" i="2" s="1"/>
  <c r="N169" i="2"/>
  <c r="N217" i="2" s="1"/>
  <c r="N145" i="2"/>
  <c r="N193" i="2" s="1"/>
  <c r="R169" i="2"/>
  <c r="R217" i="2" s="1"/>
  <c r="R145" i="2"/>
  <c r="R193" i="2" s="1"/>
  <c r="V169" i="2"/>
  <c r="V217" i="2" s="1"/>
  <c r="V145" i="2"/>
  <c r="V193" i="2" s="1"/>
  <c r="Z169" i="2"/>
  <c r="Z217" i="2" s="1"/>
  <c r="Z145" i="2"/>
  <c r="Z193" i="2" s="1"/>
  <c r="AD169" i="2"/>
  <c r="AD217" i="2" s="1"/>
  <c r="AD145" i="2"/>
  <c r="AD193" i="2" s="1"/>
  <c r="AH169" i="2"/>
  <c r="AH217" i="2" s="1"/>
  <c r="AH145" i="2"/>
  <c r="AH193" i="2" s="1"/>
  <c r="AL169" i="2"/>
  <c r="AL217" i="2" s="1"/>
  <c r="AL145" i="2"/>
  <c r="AL193" i="2" s="1"/>
  <c r="AP169" i="2"/>
  <c r="AP217" i="2" s="1"/>
  <c r="AP145" i="2"/>
  <c r="AP193" i="2" s="1"/>
  <c r="AT169" i="2"/>
  <c r="AT217" i="2" s="1"/>
  <c r="AT145" i="2"/>
  <c r="AT193" i="2" s="1"/>
  <c r="AX169" i="2"/>
  <c r="AX217" i="2" s="1"/>
  <c r="AX145" i="2"/>
  <c r="AX193" i="2" s="1"/>
  <c r="BB169" i="2"/>
  <c r="BB217" i="2" s="1"/>
  <c r="BB145" i="2"/>
  <c r="BB193" i="2" s="1"/>
  <c r="BF169" i="2"/>
  <c r="BF217" i="2" s="1"/>
  <c r="BF145" i="2"/>
  <c r="BF193" i="2" s="1"/>
  <c r="BJ169" i="2"/>
  <c r="BJ217" i="2" s="1"/>
  <c r="BJ145" i="2"/>
  <c r="BJ193" i="2" s="1"/>
  <c r="BN169" i="2"/>
  <c r="BN217" i="2" s="1"/>
  <c r="BN145" i="2"/>
  <c r="BN193" i="2" s="1"/>
  <c r="BR169" i="2"/>
  <c r="BR217" i="2" s="1"/>
  <c r="BR145" i="2"/>
  <c r="BR193" i="2" s="1"/>
  <c r="BV169" i="2"/>
  <c r="BV217" i="2" s="1"/>
  <c r="BV145" i="2"/>
  <c r="BV193" i="2" s="1"/>
  <c r="BZ169" i="2"/>
  <c r="BZ217" i="2" s="1"/>
  <c r="BZ145" i="2"/>
  <c r="BZ193" i="2" s="1"/>
  <c r="CD169" i="2"/>
  <c r="CD217" i="2" s="1"/>
  <c r="CD145" i="2"/>
  <c r="CD193" i="2" s="1"/>
  <c r="CH169" i="2"/>
  <c r="CH217" i="2" s="1"/>
  <c r="CH145" i="2"/>
  <c r="CH193" i="2" s="1"/>
  <c r="CL169" i="2"/>
  <c r="CL217" i="2" s="1"/>
  <c r="CL145" i="2"/>
  <c r="CL193" i="2" s="1"/>
  <c r="CP169" i="2"/>
  <c r="CP217" i="2" s="1"/>
  <c r="CP145" i="2"/>
  <c r="CP193" i="2" s="1"/>
  <c r="CT169" i="2"/>
  <c r="CT217" i="2" s="1"/>
  <c r="CT145" i="2"/>
  <c r="CT193" i="2" s="1"/>
  <c r="CX169" i="2"/>
  <c r="CX217" i="2" s="1"/>
  <c r="CX145" i="2"/>
  <c r="CX193" i="2" s="1"/>
  <c r="E146" i="2"/>
  <c r="E194" i="2" s="1"/>
  <c r="E170" i="2"/>
  <c r="E218" i="2" s="1"/>
  <c r="I170" i="2"/>
  <c r="I218" i="2" s="1"/>
  <c r="I146" i="2"/>
  <c r="M170" i="2"/>
  <c r="M218" i="2" s="1"/>
  <c r="M146" i="2"/>
  <c r="M194" i="2" s="1"/>
  <c r="Q170" i="2"/>
  <c r="Q218" i="2" s="1"/>
  <c r="Q146" i="2"/>
  <c r="Q194" i="2" s="1"/>
  <c r="U170" i="2"/>
  <c r="U218" i="2" s="1"/>
  <c r="U146" i="2"/>
  <c r="U194" i="2" s="1"/>
  <c r="Y170" i="2"/>
  <c r="Y218" i="2" s="1"/>
  <c r="Y146" i="2"/>
  <c r="Y194" i="2" s="1"/>
  <c r="AC170" i="2"/>
  <c r="AC218" i="2" s="1"/>
  <c r="AC146" i="2"/>
  <c r="AC194" i="2" s="1"/>
  <c r="AG170" i="2"/>
  <c r="AG218" i="2" s="1"/>
  <c r="AG146" i="2"/>
  <c r="AG194" i="2" s="1"/>
  <c r="AK170" i="2"/>
  <c r="AK218" i="2" s="1"/>
  <c r="AK146" i="2"/>
  <c r="AK194" i="2" s="1"/>
  <c r="AO170" i="2"/>
  <c r="AO218" i="2" s="1"/>
  <c r="AO146" i="2"/>
  <c r="AO194" i="2" s="1"/>
  <c r="AS170" i="2"/>
  <c r="AS218" i="2" s="1"/>
  <c r="AS146" i="2"/>
  <c r="AS194" i="2" s="1"/>
  <c r="AW170" i="2"/>
  <c r="AW218" i="2" s="1"/>
  <c r="AW146" i="2"/>
  <c r="AW194" i="2" s="1"/>
  <c r="BA170" i="2"/>
  <c r="BA218" i="2" s="1"/>
  <c r="BA146" i="2"/>
  <c r="BA194" i="2" s="1"/>
  <c r="BE170" i="2"/>
  <c r="BE218" i="2" s="1"/>
  <c r="BE146" i="2"/>
  <c r="BE194" i="2" s="1"/>
  <c r="BI170" i="2"/>
  <c r="BI218" i="2" s="1"/>
  <c r="BI146" i="2"/>
  <c r="BI194" i="2" s="1"/>
  <c r="BM170" i="2"/>
  <c r="BM218" i="2" s="1"/>
  <c r="BM146" i="2"/>
  <c r="BM194" i="2" s="1"/>
  <c r="BQ170" i="2"/>
  <c r="BQ218" i="2" s="1"/>
  <c r="BQ146" i="2"/>
  <c r="BQ194" i="2" s="1"/>
  <c r="BU170" i="2"/>
  <c r="BU218" i="2" s="1"/>
  <c r="BU146" i="2"/>
  <c r="BU194" i="2" s="1"/>
  <c r="BY170" i="2"/>
  <c r="BY218" i="2" s="1"/>
  <c r="BY146" i="2"/>
  <c r="BY194" i="2" s="1"/>
  <c r="CC170" i="2"/>
  <c r="CC218" i="2" s="1"/>
  <c r="CC146" i="2"/>
  <c r="CC194" i="2" s="1"/>
  <c r="CG170" i="2"/>
  <c r="CG146" i="2"/>
  <c r="CG194" i="2" s="1"/>
  <c r="CK170" i="2"/>
  <c r="CK218" i="2" s="1"/>
  <c r="CK146" i="2"/>
  <c r="CK194" i="2" s="1"/>
  <c r="CO170" i="2"/>
  <c r="CO218" i="2" s="1"/>
  <c r="CO146" i="2"/>
  <c r="CO194" i="2" s="1"/>
  <c r="CS170" i="2"/>
  <c r="CS218" i="2" s="1"/>
  <c r="CS146" i="2"/>
  <c r="CS194" i="2" s="1"/>
  <c r="CW170" i="2"/>
  <c r="CW218" i="2" s="1"/>
  <c r="CW146" i="2"/>
  <c r="CW194" i="2" s="1"/>
  <c r="D171" i="2"/>
  <c r="D219" i="2" s="1"/>
  <c r="D147" i="2"/>
  <c r="D195" i="2" s="1"/>
  <c r="H171" i="2"/>
  <c r="H219" i="2" s="1"/>
  <c r="H147" i="2"/>
  <c r="H195" i="2" s="1"/>
  <c r="L171" i="2"/>
  <c r="L219" i="2" s="1"/>
  <c r="L147" i="2"/>
  <c r="L195" i="2" s="1"/>
  <c r="P171" i="2"/>
  <c r="P219" i="2" s="1"/>
  <c r="P147" i="2"/>
  <c r="P195" i="2" s="1"/>
  <c r="T171" i="2"/>
  <c r="T219" i="2" s="1"/>
  <c r="T147" i="2"/>
  <c r="T195" i="2" s="1"/>
  <c r="X171" i="2"/>
  <c r="X219" i="2" s="1"/>
  <c r="X147" i="2"/>
  <c r="X195" i="2" s="1"/>
  <c r="AB171" i="2"/>
  <c r="AB219" i="2" s="1"/>
  <c r="AB147" i="2"/>
  <c r="AB195" i="2" s="1"/>
  <c r="AF171" i="2"/>
  <c r="AF219" i="2" s="1"/>
  <c r="AF147" i="2"/>
  <c r="AF195" i="2" s="1"/>
  <c r="AJ171" i="2"/>
  <c r="AJ219" i="2" s="1"/>
  <c r="AJ147" i="2"/>
  <c r="AJ195" i="2" s="1"/>
  <c r="AN171" i="2"/>
  <c r="AN219" i="2" s="1"/>
  <c r="AN147" i="2"/>
  <c r="AN195" i="2" s="1"/>
  <c r="AR171" i="2"/>
  <c r="AR219" i="2" s="1"/>
  <c r="AR147" i="2"/>
  <c r="AR195" i="2" s="1"/>
  <c r="AV171" i="2"/>
  <c r="AV219" i="2" s="1"/>
  <c r="AV147" i="2"/>
  <c r="AV195" i="2" s="1"/>
  <c r="AZ171" i="2"/>
  <c r="AZ219" i="2" s="1"/>
  <c r="AZ147" i="2"/>
  <c r="AZ195" i="2" s="1"/>
  <c r="BD171" i="2"/>
  <c r="BD219" i="2" s="1"/>
  <c r="BD147" i="2"/>
  <c r="BD195" i="2" s="1"/>
  <c r="BH171" i="2"/>
  <c r="BH219" i="2" s="1"/>
  <c r="BH147" i="2"/>
  <c r="BH195" i="2" s="1"/>
  <c r="BL171" i="2"/>
  <c r="BL219" i="2" s="1"/>
  <c r="BL147" i="2"/>
  <c r="BL195" i="2" s="1"/>
  <c r="BP171" i="2"/>
  <c r="BP147" i="2"/>
  <c r="BT171" i="2"/>
  <c r="BT219" i="2" s="1"/>
  <c r="BT147" i="2"/>
  <c r="BX171" i="2"/>
  <c r="BX147" i="2"/>
  <c r="CB171" i="2"/>
  <c r="CB219" i="2" s="1"/>
  <c r="CB147" i="2"/>
  <c r="CF171" i="2"/>
  <c r="CF147" i="2"/>
  <c r="CJ171" i="2"/>
  <c r="CJ219" i="2" s="1"/>
  <c r="CJ147" i="2"/>
  <c r="CN171" i="2"/>
  <c r="CN147" i="2"/>
  <c r="CR171" i="2"/>
  <c r="CR219" i="2" s="1"/>
  <c r="CR147" i="2"/>
  <c r="CV171" i="2"/>
  <c r="CV147" i="2"/>
  <c r="I152" i="2"/>
  <c r="I128" i="2"/>
  <c r="I100" i="2"/>
  <c r="Y152" i="2"/>
  <c r="Y128" i="2"/>
  <c r="Y100" i="2"/>
  <c r="AO152" i="2"/>
  <c r="AO128" i="2"/>
  <c r="AO100" i="2"/>
  <c r="BA152" i="2"/>
  <c r="BA128" i="2"/>
  <c r="BA100" i="2"/>
  <c r="BQ152" i="2"/>
  <c r="BQ128" i="2"/>
  <c r="BQ100" i="2"/>
  <c r="CG152" i="2"/>
  <c r="CG128" i="2"/>
  <c r="CG100" i="2"/>
  <c r="CW152" i="2"/>
  <c r="CW128" i="2"/>
  <c r="CW100" i="2"/>
  <c r="L153" i="2"/>
  <c r="L201" i="2" s="1"/>
  <c r="L129" i="2"/>
  <c r="L177" i="2" s="1"/>
  <c r="X153" i="2"/>
  <c r="X201" i="2" s="1"/>
  <c r="X129" i="2"/>
  <c r="X177" i="2" s="1"/>
  <c r="AJ153" i="2"/>
  <c r="AJ201" i="2" s="1"/>
  <c r="AJ129" i="2"/>
  <c r="AJ177" i="2" s="1"/>
  <c r="AV153" i="2"/>
  <c r="AV201" i="2" s="1"/>
  <c r="AV129" i="2"/>
  <c r="AV177" i="2" s="1"/>
  <c r="BH153" i="2"/>
  <c r="BH201" i="2" s="1"/>
  <c r="BH129" i="2"/>
  <c r="BH177" i="2" s="1"/>
  <c r="BX153" i="2"/>
  <c r="BX201" i="2" s="1"/>
  <c r="BX129" i="2"/>
  <c r="BX177" i="2" s="1"/>
  <c r="CJ153" i="2"/>
  <c r="CJ201" i="2" s="1"/>
  <c r="CJ129" i="2"/>
  <c r="CJ177" i="2" s="1"/>
  <c r="CV153" i="2"/>
  <c r="CV201" i="2" s="1"/>
  <c r="CV129" i="2"/>
  <c r="CV177" i="2" s="1"/>
  <c r="O154" i="2"/>
  <c r="O202" i="2" s="1"/>
  <c r="O130" i="2"/>
  <c r="O178" i="2" s="1"/>
  <c r="AA154" i="2"/>
  <c r="AA202" i="2" s="1"/>
  <c r="AA130" i="2"/>
  <c r="AA178" i="2" s="1"/>
  <c r="AQ154" i="2"/>
  <c r="AQ202" i="2" s="1"/>
  <c r="AQ130" i="2"/>
  <c r="AQ178" i="2" s="1"/>
  <c r="BK154" i="2"/>
  <c r="BK202" i="2" s="1"/>
  <c r="BK130" i="2"/>
  <c r="BK178" i="2" s="1"/>
  <c r="BW154" i="2"/>
  <c r="BW172" i="2" s="1"/>
  <c r="BW130" i="2"/>
  <c r="BW178" i="2" s="1"/>
  <c r="CI154" i="2"/>
  <c r="CI202" i="2" s="1"/>
  <c r="CI130" i="2"/>
  <c r="CI178" i="2" s="1"/>
  <c r="CQ154" i="2"/>
  <c r="CQ202" i="2" s="1"/>
  <c r="CQ130" i="2"/>
  <c r="CQ178" i="2" s="1"/>
  <c r="F155" i="2"/>
  <c r="F203" i="2" s="1"/>
  <c r="F131" i="2"/>
  <c r="F179" i="2" s="1"/>
  <c r="R155" i="2"/>
  <c r="R203" i="2" s="1"/>
  <c r="R131" i="2"/>
  <c r="R179" i="2" s="1"/>
  <c r="AD155" i="2"/>
  <c r="AD203" i="2" s="1"/>
  <c r="AD131" i="2"/>
  <c r="AD179" i="2" s="1"/>
  <c r="AT131" i="2"/>
  <c r="AT179" i="2" s="1"/>
  <c r="AT155" i="2"/>
  <c r="AT203" i="2" s="1"/>
  <c r="BF155" i="2"/>
  <c r="BF203" i="2" s="1"/>
  <c r="BF131" i="2"/>
  <c r="BF179" i="2" s="1"/>
  <c r="BV155" i="2"/>
  <c r="BV203" i="2" s="1"/>
  <c r="BV131" i="2"/>
  <c r="BV179" i="2" s="1"/>
  <c r="CH155" i="2"/>
  <c r="CH203" i="2" s="1"/>
  <c r="CH131" i="2"/>
  <c r="CH179" i="2" s="1"/>
  <c r="CT155" i="2"/>
  <c r="CT131" i="2"/>
  <c r="CT179" i="2" s="1"/>
  <c r="I156" i="2"/>
  <c r="I204" i="2" s="1"/>
  <c r="I132" i="2"/>
  <c r="I180" i="2" s="1"/>
  <c r="U156" i="2"/>
  <c r="U204" i="2" s="1"/>
  <c r="U132" i="2"/>
  <c r="U180" i="2" s="1"/>
  <c r="AG156" i="2"/>
  <c r="AG204" i="2" s="1"/>
  <c r="AG132" i="2"/>
  <c r="AG180" i="2" s="1"/>
  <c r="AS156" i="2"/>
  <c r="AS204" i="2" s="1"/>
  <c r="AS132" i="2"/>
  <c r="AS180" i="2" s="1"/>
  <c r="BI156" i="2"/>
  <c r="BI204" i="2" s="1"/>
  <c r="BI132" i="2"/>
  <c r="BI180" i="2" s="1"/>
  <c r="BU156" i="2"/>
  <c r="BU204" i="2" s="1"/>
  <c r="BU132" i="2"/>
  <c r="BU180" i="2" s="1"/>
  <c r="CG156" i="2"/>
  <c r="CG204" i="2" s="1"/>
  <c r="CG132" i="2"/>
  <c r="CG180" i="2" s="1"/>
  <c r="CS156" i="2"/>
  <c r="CS204" i="2" s="1"/>
  <c r="CS132" i="2"/>
  <c r="CS180" i="2" s="1"/>
  <c r="H157" i="2"/>
  <c r="H205" i="2" s="1"/>
  <c r="H133" i="2"/>
  <c r="H181" i="2" s="1"/>
  <c r="X157" i="2"/>
  <c r="X205" i="2" s="1"/>
  <c r="X133" i="2"/>
  <c r="X181" i="2" s="1"/>
  <c r="AJ157" i="2"/>
  <c r="AJ205" i="2" s="1"/>
  <c r="AJ133" i="2"/>
  <c r="AJ181" i="2" s="1"/>
  <c r="AV157" i="2"/>
  <c r="AV205" i="2" s="1"/>
  <c r="AV133" i="2"/>
  <c r="AV181" i="2" s="1"/>
  <c r="BL157" i="2"/>
  <c r="BL205" i="2" s="1"/>
  <c r="BL133" i="2"/>
  <c r="BL181" i="2" s="1"/>
  <c r="BX157" i="2"/>
  <c r="BX205" i="2" s="1"/>
  <c r="BX133" i="2"/>
  <c r="BX181" i="2" s="1"/>
  <c r="CN157" i="2"/>
  <c r="CN205" i="2" s="1"/>
  <c r="CN133" i="2"/>
  <c r="CN181" i="2" s="1"/>
  <c r="G158" i="2"/>
  <c r="G206" i="2" s="1"/>
  <c r="G134" i="2"/>
  <c r="G182" i="2" s="1"/>
  <c r="S158" i="2"/>
  <c r="S206" i="2" s="1"/>
  <c r="S134" i="2"/>
  <c r="S182" i="2" s="1"/>
  <c r="AI158" i="2"/>
  <c r="AI206" i="2" s="1"/>
  <c r="AI134" i="2"/>
  <c r="AI182" i="2" s="1"/>
  <c r="AU158" i="2"/>
  <c r="AU206" i="2" s="1"/>
  <c r="AU134" i="2"/>
  <c r="AU182" i="2" s="1"/>
  <c r="BO158" i="2"/>
  <c r="BO206" i="2" s="1"/>
  <c r="BO134" i="2"/>
  <c r="BO182" i="2" s="1"/>
  <c r="CA158" i="2"/>
  <c r="CA206" i="2" s="1"/>
  <c r="CA134" i="2"/>
  <c r="CA182" i="2" s="1"/>
  <c r="CQ158" i="2"/>
  <c r="CQ206" i="2" s="1"/>
  <c r="CQ134" i="2"/>
  <c r="CQ182" i="2" s="1"/>
  <c r="F159" i="2"/>
  <c r="F207" i="2" s="1"/>
  <c r="F135" i="2"/>
  <c r="F183" i="2" s="1"/>
  <c r="R159" i="2"/>
  <c r="R207" i="2" s="1"/>
  <c r="R135" i="2"/>
  <c r="R183" i="2" s="1"/>
  <c r="AH159" i="2"/>
  <c r="AH207" i="2" s="1"/>
  <c r="AH135" i="2"/>
  <c r="AH183" i="2" s="1"/>
  <c r="AX159" i="2"/>
  <c r="AX207" i="2" s="1"/>
  <c r="AX135" i="2"/>
  <c r="AX183" i="2" s="1"/>
  <c r="BJ159" i="2"/>
  <c r="BJ207" i="2" s="1"/>
  <c r="BJ135" i="2"/>
  <c r="BJ183" i="2" s="1"/>
  <c r="BZ159" i="2"/>
  <c r="BZ207" i="2" s="1"/>
  <c r="BZ135" i="2"/>
  <c r="BZ183" i="2" s="1"/>
  <c r="CP159" i="2"/>
  <c r="CP135" i="2"/>
  <c r="CP183" i="2" s="1"/>
  <c r="E160" i="2"/>
  <c r="E208" i="2" s="1"/>
  <c r="E136" i="2"/>
  <c r="E184" i="2" s="1"/>
  <c r="Q160" i="2"/>
  <c r="Q208" i="2" s="1"/>
  <c r="Q136" i="2"/>
  <c r="Q184" i="2" s="1"/>
  <c r="AC160" i="2"/>
  <c r="AC208" i="2" s="1"/>
  <c r="AC136" i="2"/>
  <c r="AC184" i="2" s="1"/>
  <c r="AO160" i="2"/>
  <c r="AO208" i="2" s="1"/>
  <c r="AO136" i="2"/>
  <c r="AO184" i="2" s="1"/>
  <c r="BE160" i="2"/>
  <c r="BE208" i="2" s="1"/>
  <c r="BE136" i="2"/>
  <c r="BE184" i="2" s="1"/>
  <c r="BU160" i="2"/>
  <c r="BU208" i="2" s="1"/>
  <c r="BU136" i="2"/>
  <c r="BU184" i="2" s="1"/>
  <c r="CG160" i="2"/>
  <c r="CG208" i="2" s="1"/>
  <c r="CG136" i="2"/>
  <c r="CG184" i="2" s="1"/>
  <c r="CS160" i="2"/>
  <c r="CS208" i="2" s="1"/>
  <c r="CS136" i="2"/>
  <c r="CS184" i="2" s="1"/>
  <c r="H161" i="2"/>
  <c r="H209" i="2" s="1"/>
  <c r="H137" i="2"/>
  <c r="H185" i="2" s="1"/>
  <c r="X161" i="2"/>
  <c r="X209" i="2" s="1"/>
  <c r="X137" i="2"/>
  <c r="X185" i="2" s="1"/>
  <c r="AJ161" i="2"/>
  <c r="AJ209" i="2" s="1"/>
  <c r="AJ137" i="2"/>
  <c r="AJ185" i="2" s="1"/>
  <c r="AZ161" i="2"/>
  <c r="AZ209" i="2" s="1"/>
  <c r="AZ137" i="2"/>
  <c r="AZ185" i="2" s="1"/>
  <c r="BL161" i="2"/>
  <c r="BL209" i="2" s="1"/>
  <c r="BL137" i="2"/>
  <c r="BL185" i="2" s="1"/>
  <c r="BX161" i="2"/>
  <c r="BX209" i="2" s="1"/>
  <c r="BX137" i="2"/>
  <c r="BX185" i="2" s="1"/>
  <c r="CJ161" i="2"/>
  <c r="CJ209" i="2" s="1"/>
  <c r="CJ137" i="2"/>
  <c r="CJ185" i="2" s="1"/>
  <c r="CV161" i="2"/>
  <c r="CV209" i="2" s="1"/>
  <c r="CV137" i="2"/>
  <c r="CV185" i="2" s="1"/>
  <c r="K162" i="2"/>
  <c r="K210" i="2" s="1"/>
  <c r="K138" i="2"/>
  <c r="K186" i="2" s="1"/>
  <c r="AA162" i="2"/>
  <c r="AA210" i="2" s="1"/>
  <c r="AA138" i="2"/>
  <c r="AA186" i="2" s="1"/>
  <c r="AM162" i="2"/>
  <c r="AM210" i="2" s="1"/>
  <c r="AM138" i="2"/>
  <c r="AM186" i="2" s="1"/>
  <c r="AY162" i="2"/>
  <c r="AY210" i="2" s="1"/>
  <c r="AY138" i="2"/>
  <c r="AY186" i="2" s="1"/>
  <c r="BK162" i="2"/>
  <c r="BK210" i="2" s="1"/>
  <c r="BK138" i="2"/>
  <c r="BK186" i="2" s="1"/>
  <c r="BW162" i="2"/>
  <c r="BW210" i="2" s="1"/>
  <c r="BW138" i="2"/>
  <c r="BW186" i="2" s="1"/>
  <c r="CI162" i="2"/>
  <c r="CI210" i="2" s="1"/>
  <c r="CI138" i="2"/>
  <c r="CI186" i="2" s="1"/>
  <c r="CY162" i="2"/>
  <c r="CY210" i="2" s="1"/>
  <c r="CY138" i="2"/>
  <c r="CY186" i="2" s="1"/>
  <c r="N163" i="2"/>
  <c r="N211" i="2" s="1"/>
  <c r="N139" i="2"/>
  <c r="N187" i="2" s="1"/>
  <c r="Z163" i="2"/>
  <c r="Z211" i="2" s="1"/>
  <c r="Z139" i="2"/>
  <c r="Z187" i="2" s="1"/>
  <c r="AL163" i="2"/>
  <c r="AL211" i="2" s="1"/>
  <c r="AL139" i="2"/>
  <c r="AL187" i="2" s="1"/>
  <c r="AX163" i="2"/>
  <c r="AX211" i="2" s="1"/>
  <c r="AX139" i="2"/>
  <c r="AX187" i="2" s="1"/>
  <c r="BN163" i="2"/>
  <c r="BN211" i="2" s="1"/>
  <c r="BN139" i="2"/>
  <c r="BN187" i="2" s="1"/>
  <c r="CD163" i="2"/>
  <c r="CD211" i="2" s="1"/>
  <c r="CD139" i="2"/>
  <c r="CD187" i="2" s="1"/>
  <c r="CP163" i="2"/>
  <c r="CP211" i="2" s="1"/>
  <c r="CP139" i="2"/>
  <c r="CP187" i="2" s="1"/>
  <c r="E164" i="2"/>
  <c r="E212" i="2" s="1"/>
  <c r="E140" i="2"/>
  <c r="E188" i="2" s="1"/>
  <c r="U164" i="2"/>
  <c r="U212" i="2" s="1"/>
  <c r="U140" i="2"/>
  <c r="U188" i="2" s="1"/>
  <c r="AG164" i="2"/>
  <c r="AG212" i="2" s="1"/>
  <c r="AG140" i="2"/>
  <c r="AG188" i="2" s="1"/>
  <c r="AS164" i="2"/>
  <c r="AS212" i="2" s="1"/>
  <c r="AS140" i="2"/>
  <c r="AS188" i="2" s="1"/>
  <c r="BE164" i="2"/>
  <c r="BE212" i="2" s="1"/>
  <c r="BE140" i="2"/>
  <c r="BE188" i="2" s="1"/>
  <c r="BQ164" i="2"/>
  <c r="BQ212" i="2" s="1"/>
  <c r="BQ140" i="2"/>
  <c r="BQ188" i="2" s="1"/>
  <c r="CC164" i="2"/>
  <c r="CC212" i="2" s="1"/>
  <c r="CC140" i="2"/>
  <c r="CC188" i="2" s="1"/>
  <c r="CO164" i="2"/>
  <c r="CO140" i="2"/>
  <c r="CO188" i="2" s="1"/>
  <c r="D165" i="2"/>
  <c r="D213" i="2" s="1"/>
  <c r="D141" i="2"/>
  <c r="D189" i="2" s="1"/>
  <c r="P165" i="2"/>
  <c r="P213" i="2" s="1"/>
  <c r="P141" i="2"/>
  <c r="P189" i="2" s="1"/>
  <c r="AB165" i="2"/>
  <c r="AB213" i="2" s="1"/>
  <c r="AB141" i="2"/>
  <c r="AB189" i="2" s="1"/>
  <c r="AR165" i="2"/>
  <c r="AR213" i="2" s="1"/>
  <c r="AR141" i="2"/>
  <c r="AR189" i="2" s="1"/>
  <c r="BD165" i="2"/>
  <c r="BD213" i="2" s="1"/>
  <c r="BD141" i="2"/>
  <c r="BD189" i="2" s="1"/>
  <c r="BP165" i="2"/>
  <c r="BP213" i="2" s="1"/>
  <c r="BP141" i="2"/>
  <c r="BP189" i="2" s="1"/>
  <c r="CB165" i="2"/>
  <c r="CB213" i="2" s="1"/>
  <c r="CB141" i="2"/>
  <c r="CB189" i="2" s="1"/>
  <c r="CN165" i="2"/>
  <c r="CN213" i="2" s="1"/>
  <c r="CN141" i="2"/>
  <c r="CN189" i="2" s="1"/>
  <c r="G166" i="2"/>
  <c r="G214" i="2" s="1"/>
  <c r="G142" i="2"/>
  <c r="G190" i="2" s="1"/>
  <c r="W166" i="2"/>
  <c r="W214" i="2" s="1"/>
  <c r="W142" i="2"/>
  <c r="W190" i="2" s="1"/>
  <c r="AI166" i="2"/>
  <c r="AI214" i="2" s="1"/>
  <c r="AI142" i="2"/>
  <c r="AI190" i="2" s="1"/>
  <c r="AY166" i="2"/>
  <c r="AY214" i="2" s="1"/>
  <c r="AY142" i="2"/>
  <c r="AY190" i="2" s="1"/>
  <c r="BO166" i="2"/>
  <c r="BO214" i="2" s="1"/>
  <c r="BO142" i="2"/>
  <c r="BO190" i="2" s="1"/>
  <c r="CA166" i="2"/>
  <c r="CA214" i="2" s="1"/>
  <c r="CA142" i="2"/>
  <c r="CA190" i="2" s="1"/>
  <c r="CM166" i="2"/>
  <c r="CM214" i="2" s="1"/>
  <c r="CM142" i="2"/>
  <c r="CM190" i="2" s="1"/>
  <c r="F167" i="2"/>
  <c r="F215" i="2" s="1"/>
  <c r="F143" i="2"/>
  <c r="F191" i="2" s="1"/>
  <c r="R167" i="2"/>
  <c r="R215" i="2" s="1"/>
  <c r="R143" i="2"/>
  <c r="R191" i="2" s="1"/>
  <c r="AL167" i="2"/>
  <c r="AL215" i="2" s="1"/>
  <c r="AL143" i="2"/>
  <c r="AL191" i="2" s="1"/>
  <c r="AX167" i="2"/>
  <c r="AX215" i="2" s="1"/>
  <c r="AX143" i="2"/>
  <c r="AX191" i="2" s="1"/>
  <c r="BJ167" i="2"/>
  <c r="BJ215" i="2" s="1"/>
  <c r="BJ143" i="2"/>
  <c r="BJ191" i="2" s="1"/>
  <c r="BV167" i="2"/>
  <c r="BV215" i="2" s="1"/>
  <c r="BV143" i="2"/>
  <c r="BV191" i="2" s="1"/>
  <c r="CL167" i="2"/>
  <c r="CL215" i="2" s="1"/>
  <c r="CL143" i="2"/>
  <c r="CL191" i="2" s="1"/>
  <c r="CX167" i="2"/>
  <c r="CX215" i="2" s="1"/>
  <c r="CX143" i="2"/>
  <c r="CX191" i="2" s="1"/>
  <c r="Q168" i="2"/>
  <c r="Q216" i="2" s="1"/>
  <c r="Q144" i="2"/>
  <c r="Q192" i="2" s="1"/>
  <c r="AC168" i="2"/>
  <c r="AC216" i="2" s="1"/>
  <c r="AC144" i="2"/>
  <c r="AC192" i="2" s="1"/>
  <c r="AS168" i="2"/>
  <c r="AS216" i="2" s="1"/>
  <c r="AS144" i="2"/>
  <c r="AS192" i="2" s="1"/>
  <c r="BI168" i="2"/>
  <c r="BI216" i="2" s="1"/>
  <c r="BI144" i="2"/>
  <c r="BI192" i="2" s="1"/>
  <c r="CC168" i="2"/>
  <c r="CC216" i="2" s="1"/>
  <c r="CC144" i="2"/>
  <c r="CC192" i="2" s="1"/>
  <c r="CO168" i="2"/>
  <c r="CO216" i="2" s="1"/>
  <c r="CO144" i="2"/>
  <c r="CO192" i="2" s="1"/>
  <c r="H169" i="2"/>
  <c r="H217" i="2" s="1"/>
  <c r="H145" i="2"/>
  <c r="H193" i="2" s="1"/>
  <c r="X169" i="2"/>
  <c r="X217" i="2" s="1"/>
  <c r="X145" i="2"/>
  <c r="X193" i="2" s="1"/>
  <c r="AJ169" i="2"/>
  <c r="AJ217" i="2" s="1"/>
  <c r="AJ145" i="2"/>
  <c r="AJ193" i="2" s="1"/>
  <c r="AV169" i="2"/>
  <c r="AV217" i="2" s="1"/>
  <c r="AV145" i="2"/>
  <c r="AV193" i="2" s="1"/>
  <c r="BH169" i="2"/>
  <c r="BH217" i="2" s="1"/>
  <c r="BH145" i="2"/>
  <c r="BH193" i="2" s="1"/>
  <c r="BT169" i="2"/>
  <c r="BT217" i="2" s="1"/>
  <c r="BT145" i="2"/>
  <c r="BT193" i="2" s="1"/>
  <c r="CJ169" i="2"/>
  <c r="CJ217" i="2" s="1"/>
  <c r="CJ145" i="2"/>
  <c r="CJ193" i="2" s="1"/>
  <c r="C146" i="2"/>
  <c r="C194" i="2" s="1"/>
  <c r="C170" i="2"/>
  <c r="O170" i="2"/>
  <c r="O218" i="2" s="1"/>
  <c r="O146" i="2"/>
  <c r="O194" i="2" s="1"/>
  <c r="AA170" i="2"/>
  <c r="AA218" i="2" s="1"/>
  <c r="AA146" i="2"/>
  <c r="AA194" i="2" s="1"/>
  <c r="AM170" i="2"/>
  <c r="AM218" i="2" s="1"/>
  <c r="AM146" i="2"/>
  <c r="AM194" i="2" s="1"/>
  <c r="AY170" i="2"/>
  <c r="AY218" i="2" s="1"/>
  <c r="AY146" i="2"/>
  <c r="AY194" i="2" s="1"/>
  <c r="BK170" i="2"/>
  <c r="BK218" i="2" s="1"/>
  <c r="BK146" i="2"/>
  <c r="BK194" i="2" s="1"/>
  <c r="BW170" i="2"/>
  <c r="BW218" i="2" s="1"/>
  <c r="BW146" i="2"/>
  <c r="BW194" i="2" s="1"/>
  <c r="CI170" i="2"/>
  <c r="CI218" i="2" s="1"/>
  <c r="CI146" i="2"/>
  <c r="CI194" i="2" s="1"/>
  <c r="CY170" i="2"/>
  <c r="CY218" i="2" s="1"/>
  <c r="CY146" i="2"/>
  <c r="CY194" i="2" s="1"/>
  <c r="N171" i="2"/>
  <c r="N219" i="2" s="1"/>
  <c r="N147" i="2"/>
  <c r="N195" i="2" s="1"/>
  <c r="AD171" i="2"/>
  <c r="AD219" i="2" s="1"/>
  <c r="AD147" i="2"/>
  <c r="AD195" i="2" s="1"/>
  <c r="AT171" i="2"/>
  <c r="AT219" i="2" s="1"/>
  <c r="AT147" i="2"/>
  <c r="AT195" i="2" s="1"/>
  <c r="BF171" i="2"/>
  <c r="BF219" i="2" s="1"/>
  <c r="BF147" i="2"/>
  <c r="BF195" i="2" s="1"/>
  <c r="BR171" i="2"/>
  <c r="BR219" i="2" s="1"/>
  <c r="BR147" i="2"/>
  <c r="CD171" i="2"/>
  <c r="CD147" i="2"/>
  <c r="CD195" i="2" s="1"/>
  <c r="CP171" i="2"/>
  <c r="CP219" i="2" s="1"/>
  <c r="CP147" i="2"/>
  <c r="AL99" i="2"/>
  <c r="CH99" i="2"/>
  <c r="J152" i="2"/>
  <c r="J128" i="2"/>
  <c r="J100" i="2"/>
  <c r="Z152" i="2"/>
  <c r="Z128" i="2"/>
  <c r="Z100" i="2"/>
  <c r="AL152" i="2"/>
  <c r="AL128" i="2"/>
  <c r="AL100" i="2"/>
  <c r="AX152" i="2"/>
  <c r="AX128" i="2"/>
  <c r="AX100" i="2"/>
  <c r="BJ152" i="2"/>
  <c r="BJ128" i="2"/>
  <c r="BJ100" i="2"/>
  <c r="BV152" i="2"/>
  <c r="BV128" i="2"/>
  <c r="BV100" i="2"/>
  <c r="CD152" i="2"/>
  <c r="CD128" i="2"/>
  <c r="CD100" i="2"/>
  <c r="CP152" i="2"/>
  <c r="CP128" i="2"/>
  <c r="CP100" i="2"/>
  <c r="E153" i="2"/>
  <c r="E201" i="2" s="1"/>
  <c r="E129" i="2"/>
  <c r="E177" i="2" s="1"/>
  <c r="Y153" i="2"/>
  <c r="Y201" i="2" s="1"/>
  <c r="Y129" i="2"/>
  <c r="Y177" i="2" s="1"/>
  <c r="AP99" i="2"/>
  <c r="CL99" i="2"/>
  <c r="G152" i="2"/>
  <c r="G128" i="2"/>
  <c r="G100" i="2"/>
  <c r="O152" i="2"/>
  <c r="O128" i="2"/>
  <c r="O100" i="2"/>
  <c r="W152" i="2"/>
  <c r="W128" i="2"/>
  <c r="W100" i="2"/>
  <c r="AE152" i="2"/>
  <c r="AE128" i="2"/>
  <c r="AE100" i="2"/>
  <c r="AM152" i="2"/>
  <c r="AM128" i="2"/>
  <c r="AM100" i="2"/>
  <c r="AU152" i="2"/>
  <c r="AU128" i="2"/>
  <c r="AU100" i="2"/>
  <c r="BC152" i="2"/>
  <c r="BC128" i="2"/>
  <c r="BC100" i="2"/>
  <c r="BK152" i="2"/>
  <c r="BK128" i="2"/>
  <c r="BK100" i="2"/>
  <c r="BW152" i="2"/>
  <c r="BW128" i="2"/>
  <c r="BW100" i="2"/>
  <c r="CE152" i="2"/>
  <c r="CE128" i="2"/>
  <c r="CE100" i="2"/>
  <c r="CM152" i="2"/>
  <c r="CM172" i="2" s="1"/>
  <c r="CM128" i="2"/>
  <c r="CM100" i="2"/>
  <c r="CU152" i="2"/>
  <c r="CU128" i="2"/>
  <c r="CU100" i="2"/>
  <c r="F153" i="2"/>
  <c r="F201" i="2" s="1"/>
  <c r="F129" i="2"/>
  <c r="F177" i="2" s="1"/>
  <c r="N153" i="2"/>
  <c r="N201" i="2" s="1"/>
  <c r="N129" i="2"/>
  <c r="N177" i="2" s="1"/>
  <c r="V153" i="2"/>
  <c r="V201" i="2" s="1"/>
  <c r="V129" i="2"/>
  <c r="V177" i="2" s="1"/>
  <c r="AD153" i="2"/>
  <c r="AD201" i="2" s="1"/>
  <c r="AD129" i="2"/>
  <c r="AD177" i="2" s="1"/>
  <c r="AL153" i="2"/>
  <c r="AL201" i="2" s="1"/>
  <c r="AL129" i="2"/>
  <c r="AL177" i="2" s="1"/>
  <c r="AT153" i="2"/>
  <c r="AT201" i="2" s="1"/>
  <c r="AT129" i="2"/>
  <c r="AT177" i="2" s="1"/>
  <c r="BB153" i="2"/>
  <c r="BB201" i="2" s="1"/>
  <c r="BB129" i="2"/>
  <c r="BB177" i="2" s="1"/>
  <c r="BJ153" i="2"/>
  <c r="BJ201" i="2" s="1"/>
  <c r="BJ129" i="2"/>
  <c r="BJ177" i="2" s="1"/>
  <c r="BR153" i="2"/>
  <c r="BR201" i="2" s="1"/>
  <c r="BR129" i="2"/>
  <c r="BR177" i="2" s="1"/>
  <c r="BZ153" i="2"/>
  <c r="BZ201" i="2" s="1"/>
  <c r="BZ129" i="2"/>
  <c r="BZ177" i="2" s="1"/>
  <c r="CH153" i="2"/>
  <c r="CH201" i="2" s="1"/>
  <c r="CH129" i="2"/>
  <c r="CH177" i="2" s="1"/>
  <c r="CP153" i="2"/>
  <c r="CP201" i="2" s="1"/>
  <c r="CP129" i="2"/>
  <c r="CP177" i="2" s="1"/>
  <c r="CX153" i="2"/>
  <c r="CX201" i="2" s="1"/>
  <c r="CX129" i="2"/>
  <c r="CX177" i="2" s="1"/>
  <c r="I154" i="2"/>
  <c r="I202" i="2" s="1"/>
  <c r="I130" i="2"/>
  <c r="I178" i="2" s="1"/>
  <c r="Q154" i="2"/>
  <c r="Q202" i="2" s="1"/>
  <c r="Q130" i="2"/>
  <c r="Q178" i="2" s="1"/>
  <c r="Y154" i="2"/>
  <c r="Y202" i="2" s="1"/>
  <c r="Y130" i="2"/>
  <c r="Y178" i="2" s="1"/>
  <c r="AG154" i="2"/>
  <c r="AG202" i="2" s="1"/>
  <c r="AG130" i="2"/>
  <c r="AG178" i="2" s="1"/>
  <c r="AO154" i="2"/>
  <c r="AO202" i="2" s="1"/>
  <c r="AO130" i="2"/>
  <c r="AO178" i="2" s="1"/>
  <c r="AW154" i="2"/>
  <c r="AW202" i="2" s="1"/>
  <c r="AW130" i="2"/>
  <c r="AW178" i="2" s="1"/>
  <c r="BE154" i="2"/>
  <c r="BE202" i="2" s="1"/>
  <c r="BE130" i="2"/>
  <c r="BE178" i="2" s="1"/>
  <c r="BI154" i="2"/>
  <c r="BI202" i="2" s="1"/>
  <c r="BI130" i="2"/>
  <c r="BI178" i="2" s="1"/>
  <c r="BQ154" i="2"/>
  <c r="BQ202" i="2" s="1"/>
  <c r="BQ130" i="2"/>
  <c r="BQ178" i="2" s="1"/>
  <c r="BU154" i="2"/>
  <c r="BU202" i="2" s="1"/>
  <c r="BU130" i="2"/>
  <c r="BU178" i="2" s="1"/>
  <c r="BY154" i="2"/>
  <c r="BY202" i="2" s="1"/>
  <c r="BY130" i="2"/>
  <c r="BY178" i="2" s="1"/>
  <c r="CC154" i="2"/>
  <c r="CC202" i="2" s="1"/>
  <c r="CC130" i="2"/>
  <c r="CC178" i="2" s="1"/>
  <c r="CO154" i="2"/>
  <c r="CO202" i="2" s="1"/>
  <c r="CO130" i="2"/>
  <c r="CO178" i="2" s="1"/>
  <c r="CW154" i="2"/>
  <c r="CW202" i="2" s="1"/>
  <c r="CW130" i="2"/>
  <c r="CW178" i="2" s="1"/>
  <c r="H155" i="2"/>
  <c r="H203" i="2" s="1"/>
  <c r="H131" i="2"/>
  <c r="H179" i="2" s="1"/>
  <c r="P155" i="2"/>
  <c r="P203" i="2" s="1"/>
  <c r="P131" i="2"/>
  <c r="P179" i="2" s="1"/>
  <c r="X155" i="2"/>
  <c r="X203" i="2" s="1"/>
  <c r="X131" i="2"/>
  <c r="X179" i="2" s="1"/>
  <c r="AF155" i="2"/>
  <c r="AF203" i="2" s="1"/>
  <c r="AF131" i="2"/>
  <c r="AF179" i="2" s="1"/>
  <c r="BH155" i="2"/>
  <c r="BH203" i="2" s="1"/>
  <c r="BH131" i="2"/>
  <c r="BH179" i="2" s="1"/>
  <c r="AD99" i="2"/>
  <c r="AT99" i="2"/>
  <c r="BJ99" i="2"/>
  <c r="BZ99" i="2"/>
  <c r="CP99" i="2"/>
  <c r="D152" i="2"/>
  <c r="D128" i="2"/>
  <c r="D100" i="2"/>
  <c r="H152" i="2"/>
  <c r="H128" i="2"/>
  <c r="H100" i="2"/>
  <c r="L152" i="2"/>
  <c r="L128" i="2"/>
  <c r="L100" i="2"/>
  <c r="P152" i="2"/>
  <c r="P128" i="2"/>
  <c r="P100" i="2"/>
  <c r="T152" i="2"/>
  <c r="T128" i="2"/>
  <c r="T100" i="2"/>
  <c r="X152" i="2"/>
  <c r="X128" i="2"/>
  <c r="X100" i="2"/>
  <c r="AB152" i="2"/>
  <c r="AB128" i="2"/>
  <c r="AB100" i="2"/>
  <c r="AF128" i="2"/>
  <c r="AF152" i="2"/>
  <c r="AF100" i="2"/>
  <c r="AJ152" i="2"/>
  <c r="AJ128" i="2"/>
  <c r="AJ148" i="2" s="1"/>
  <c r="AJ100" i="2"/>
  <c r="AN152" i="2"/>
  <c r="AN128" i="2"/>
  <c r="AN100" i="2"/>
  <c r="AR152" i="2"/>
  <c r="AR128" i="2"/>
  <c r="AR100" i="2"/>
  <c r="AV152" i="2"/>
  <c r="AV128" i="2"/>
  <c r="AV100" i="2"/>
  <c r="AZ152" i="2"/>
  <c r="AZ128" i="2"/>
  <c r="AZ100" i="2"/>
  <c r="BD152" i="2"/>
  <c r="BD128" i="2"/>
  <c r="BD100" i="2"/>
  <c r="BH152" i="2"/>
  <c r="BH128" i="2"/>
  <c r="BH100" i="2"/>
  <c r="BL152" i="2"/>
  <c r="BL128" i="2"/>
  <c r="BL100" i="2"/>
  <c r="BP152" i="2"/>
  <c r="BP128" i="2"/>
  <c r="BP100" i="2"/>
  <c r="BT152" i="2"/>
  <c r="BT128" i="2"/>
  <c r="BT100" i="2"/>
  <c r="BX152" i="2"/>
  <c r="BX128" i="2"/>
  <c r="BX100" i="2"/>
  <c r="CB152" i="2"/>
  <c r="CB128" i="2"/>
  <c r="CB100" i="2"/>
  <c r="CF152" i="2"/>
  <c r="CF128" i="2"/>
  <c r="CF100" i="2"/>
  <c r="CJ152" i="2"/>
  <c r="CJ128" i="2"/>
  <c r="CJ100" i="2"/>
  <c r="CN128" i="2"/>
  <c r="CN152" i="2"/>
  <c r="CN100" i="2"/>
  <c r="CR152" i="2"/>
  <c r="CR128" i="2"/>
  <c r="CR100" i="2"/>
  <c r="CV152" i="2"/>
  <c r="CV128" i="2"/>
  <c r="CV100" i="2"/>
  <c r="C153" i="2"/>
  <c r="C201" i="2" s="1"/>
  <c r="C129" i="2"/>
  <c r="C177" i="2" s="1"/>
  <c r="G153" i="2"/>
  <c r="G201" i="2" s="1"/>
  <c r="G129" i="2"/>
  <c r="G177" i="2" s="1"/>
  <c r="K153" i="2"/>
  <c r="K201" i="2" s="1"/>
  <c r="K129" i="2"/>
  <c r="K177" i="2" s="1"/>
  <c r="O153" i="2"/>
  <c r="O201" i="2" s="1"/>
  <c r="O129" i="2"/>
  <c r="O177" i="2" s="1"/>
  <c r="S153" i="2"/>
  <c r="S201" i="2" s="1"/>
  <c r="S129" i="2"/>
  <c r="S177" i="2" s="1"/>
  <c r="W153" i="2"/>
  <c r="W201" i="2" s="1"/>
  <c r="W129" i="2"/>
  <c r="W177" i="2" s="1"/>
  <c r="AA153" i="2"/>
  <c r="AA201" i="2" s="1"/>
  <c r="AA129" i="2"/>
  <c r="AA177" i="2" s="1"/>
  <c r="AE153" i="2"/>
  <c r="AE201" i="2" s="1"/>
  <c r="AE129" i="2"/>
  <c r="AE177" i="2" s="1"/>
  <c r="AI153" i="2"/>
  <c r="AI201" i="2" s="1"/>
  <c r="AI129" i="2"/>
  <c r="AI177" i="2" s="1"/>
  <c r="AM153" i="2"/>
  <c r="AM201" i="2" s="1"/>
  <c r="AM129" i="2"/>
  <c r="AM177" i="2" s="1"/>
  <c r="AQ153" i="2"/>
  <c r="AQ201" i="2" s="1"/>
  <c r="AQ129" i="2"/>
  <c r="AQ177" i="2" s="1"/>
  <c r="AU153" i="2"/>
  <c r="AU201" i="2" s="1"/>
  <c r="AU129" i="2"/>
  <c r="AU177" i="2" s="1"/>
  <c r="AY153" i="2"/>
  <c r="AY201" i="2" s="1"/>
  <c r="AY129" i="2"/>
  <c r="AY177" i="2" s="1"/>
  <c r="BC153" i="2"/>
  <c r="BC201" i="2" s="1"/>
  <c r="BC129" i="2"/>
  <c r="BC177" i="2" s="1"/>
  <c r="BG153" i="2"/>
  <c r="BG201" i="2" s="1"/>
  <c r="BG129" i="2"/>
  <c r="BG177" i="2" s="1"/>
  <c r="BK153" i="2"/>
  <c r="BK201" i="2" s="1"/>
  <c r="BK129" i="2"/>
  <c r="BK177" i="2" s="1"/>
  <c r="BO153" i="2"/>
  <c r="BO201" i="2" s="1"/>
  <c r="BO129" i="2"/>
  <c r="BO177" i="2" s="1"/>
  <c r="BS153" i="2"/>
  <c r="BS201" i="2" s="1"/>
  <c r="BS129" i="2"/>
  <c r="BS177" i="2" s="1"/>
  <c r="BW153" i="2"/>
  <c r="BW201" i="2" s="1"/>
  <c r="BW129" i="2"/>
  <c r="BW177" i="2" s="1"/>
  <c r="CA153" i="2"/>
  <c r="CA201" i="2" s="1"/>
  <c r="CA129" i="2"/>
  <c r="CA177" i="2" s="1"/>
  <c r="CE153" i="2"/>
  <c r="CE201" i="2" s="1"/>
  <c r="CE129" i="2"/>
  <c r="CE177" i="2" s="1"/>
  <c r="CI153" i="2"/>
  <c r="CI201" i="2" s="1"/>
  <c r="CI129" i="2"/>
  <c r="CI177" i="2" s="1"/>
  <c r="CM153" i="2"/>
  <c r="CM201" i="2" s="1"/>
  <c r="CM129" i="2"/>
  <c r="CM177" i="2" s="1"/>
  <c r="CQ153" i="2"/>
  <c r="CQ172" i="2" s="1"/>
  <c r="CQ129" i="2"/>
  <c r="CQ177" i="2" s="1"/>
  <c r="CU153" i="2"/>
  <c r="CU201" i="2" s="1"/>
  <c r="CU129" i="2"/>
  <c r="CU177" i="2" s="1"/>
  <c r="CY153" i="2"/>
  <c r="CY201" i="2" s="1"/>
  <c r="CY129" i="2"/>
  <c r="CY177" i="2" s="1"/>
  <c r="F154" i="2"/>
  <c r="F202" i="2" s="1"/>
  <c r="F130" i="2"/>
  <c r="F178" i="2" s="1"/>
  <c r="J154" i="2"/>
  <c r="J202" i="2" s="1"/>
  <c r="J130" i="2"/>
  <c r="J178" i="2" s="1"/>
  <c r="N154" i="2"/>
  <c r="N202" i="2" s="1"/>
  <c r="N130" i="2"/>
  <c r="N178" i="2" s="1"/>
  <c r="R154" i="2"/>
  <c r="R202" i="2" s="1"/>
  <c r="R130" i="2"/>
  <c r="R178" i="2" s="1"/>
  <c r="V154" i="2"/>
  <c r="V202" i="2" s="1"/>
  <c r="V130" i="2"/>
  <c r="V178" i="2" s="1"/>
  <c r="Z154" i="2"/>
  <c r="Z202" i="2" s="1"/>
  <c r="Z130" i="2"/>
  <c r="Z178" i="2" s="1"/>
  <c r="AD154" i="2"/>
  <c r="AD202" i="2" s="1"/>
  <c r="AD130" i="2"/>
  <c r="AD178" i="2" s="1"/>
  <c r="AH154" i="2"/>
  <c r="AH202" i="2" s="1"/>
  <c r="AH130" i="2"/>
  <c r="AH178" i="2" s="1"/>
  <c r="AL154" i="2"/>
  <c r="AL202" i="2" s="1"/>
  <c r="AL130" i="2"/>
  <c r="AL178" i="2" s="1"/>
  <c r="AP154" i="2"/>
  <c r="AP202" i="2" s="1"/>
  <c r="AP130" i="2"/>
  <c r="AP178" i="2" s="1"/>
  <c r="AT154" i="2"/>
  <c r="AT202" i="2" s="1"/>
  <c r="AT130" i="2"/>
  <c r="AT178" i="2" s="1"/>
  <c r="AX154" i="2"/>
  <c r="AX202" i="2" s="1"/>
  <c r="AX130" i="2"/>
  <c r="AX178" i="2" s="1"/>
  <c r="BB154" i="2"/>
  <c r="BB202" i="2" s="1"/>
  <c r="BB130" i="2"/>
  <c r="BB178" i="2" s="1"/>
  <c r="BF154" i="2"/>
  <c r="BF202" i="2" s="1"/>
  <c r="BF130" i="2"/>
  <c r="BF178" i="2" s="1"/>
  <c r="BJ154" i="2"/>
  <c r="BJ202" i="2" s="1"/>
  <c r="BJ130" i="2"/>
  <c r="BJ178" i="2" s="1"/>
  <c r="BN154" i="2"/>
  <c r="BN202" i="2" s="1"/>
  <c r="BN130" i="2"/>
  <c r="BN178" i="2" s="1"/>
  <c r="BR154" i="2"/>
  <c r="BR202" i="2" s="1"/>
  <c r="BR130" i="2"/>
  <c r="BR178" i="2" s="1"/>
  <c r="BV154" i="2"/>
  <c r="BV202" i="2" s="1"/>
  <c r="BV130" i="2"/>
  <c r="BV178" i="2" s="1"/>
  <c r="BZ154" i="2"/>
  <c r="BZ202" i="2" s="1"/>
  <c r="BZ130" i="2"/>
  <c r="BZ178" i="2" s="1"/>
  <c r="CD154" i="2"/>
  <c r="CD202" i="2" s="1"/>
  <c r="CD130" i="2"/>
  <c r="CD178" i="2" s="1"/>
  <c r="CH154" i="2"/>
  <c r="CH202" i="2" s="1"/>
  <c r="CH130" i="2"/>
  <c r="CH178" i="2" s="1"/>
  <c r="CL154" i="2"/>
  <c r="CL130" i="2"/>
  <c r="CL178" i="2" s="1"/>
  <c r="CP154" i="2"/>
  <c r="CP202" i="2" s="1"/>
  <c r="CP130" i="2"/>
  <c r="CP178" i="2" s="1"/>
  <c r="CT154" i="2"/>
  <c r="CT202" i="2" s="1"/>
  <c r="CT130" i="2"/>
  <c r="CT178" i="2" s="1"/>
  <c r="CX154" i="2"/>
  <c r="CX202" i="2" s="1"/>
  <c r="CX130" i="2"/>
  <c r="CX178" i="2" s="1"/>
  <c r="E155" i="2"/>
  <c r="E203" i="2" s="1"/>
  <c r="E131" i="2"/>
  <c r="E179" i="2" s="1"/>
  <c r="I155" i="2"/>
  <c r="I203" i="2" s="1"/>
  <c r="I131" i="2"/>
  <c r="I179" i="2" s="1"/>
  <c r="M155" i="2"/>
  <c r="M203" i="2" s="1"/>
  <c r="M131" i="2"/>
  <c r="M179" i="2" s="1"/>
  <c r="Q155" i="2"/>
  <c r="Q203" i="2" s="1"/>
  <c r="Q131" i="2"/>
  <c r="Q179" i="2" s="1"/>
  <c r="U155" i="2"/>
  <c r="U203" i="2" s="1"/>
  <c r="U131" i="2"/>
  <c r="U179" i="2" s="1"/>
  <c r="Y155" i="2"/>
  <c r="Y203" i="2" s="1"/>
  <c r="Y131" i="2"/>
  <c r="Y179" i="2" s="1"/>
  <c r="AC155" i="2"/>
  <c r="AC203" i="2" s="1"/>
  <c r="AC131" i="2"/>
  <c r="AC179" i="2" s="1"/>
  <c r="AG155" i="2"/>
  <c r="AG203" i="2" s="1"/>
  <c r="AG131" i="2"/>
  <c r="AG179" i="2" s="1"/>
  <c r="AK155" i="2"/>
  <c r="AK203" i="2" s="1"/>
  <c r="AK131" i="2"/>
  <c r="AK179" i="2" s="1"/>
  <c r="AO155" i="2"/>
  <c r="AO203" i="2" s="1"/>
  <c r="AO131" i="2"/>
  <c r="AO179" i="2" s="1"/>
  <c r="AS155" i="2"/>
  <c r="AS203" i="2" s="1"/>
  <c r="AS131" i="2"/>
  <c r="AS179" i="2" s="1"/>
  <c r="AW155" i="2"/>
  <c r="AW203" i="2" s="1"/>
  <c r="AW131" i="2"/>
  <c r="AW179" i="2" s="1"/>
  <c r="BA155" i="2"/>
  <c r="BA203" i="2" s="1"/>
  <c r="BA131" i="2"/>
  <c r="BA179" i="2" s="1"/>
  <c r="BE155" i="2"/>
  <c r="BE203" i="2" s="1"/>
  <c r="BE131" i="2"/>
  <c r="BE179" i="2" s="1"/>
  <c r="BI155" i="2"/>
  <c r="BI203" i="2" s="1"/>
  <c r="BI131" i="2"/>
  <c r="BI179" i="2" s="1"/>
  <c r="BM155" i="2"/>
  <c r="BM203" i="2" s="1"/>
  <c r="BM131" i="2"/>
  <c r="BM179" i="2" s="1"/>
  <c r="BQ155" i="2"/>
  <c r="BQ203" i="2" s="1"/>
  <c r="BQ131" i="2"/>
  <c r="BQ179" i="2" s="1"/>
  <c r="BU155" i="2"/>
  <c r="BU203" i="2" s="1"/>
  <c r="BU131" i="2"/>
  <c r="BU179" i="2" s="1"/>
  <c r="BY155" i="2"/>
  <c r="BY203" i="2" s="1"/>
  <c r="BY131" i="2"/>
  <c r="BY179" i="2" s="1"/>
  <c r="CC155" i="2"/>
  <c r="CC203" i="2" s="1"/>
  <c r="CC131" i="2"/>
  <c r="CC179" i="2" s="1"/>
  <c r="CG155" i="2"/>
  <c r="CG203" i="2" s="1"/>
  <c r="CG131" i="2"/>
  <c r="CG179" i="2" s="1"/>
  <c r="CK155" i="2"/>
  <c r="CK203" i="2" s="1"/>
  <c r="CK131" i="2"/>
  <c r="CK179" i="2" s="1"/>
  <c r="CO155" i="2"/>
  <c r="CO203" i="2" s="1"/>
  <c r="CO131" i="2"/>
  <c r="CO179" i="2" s="1"/>
  <c r="CS155" i="2"/>
  <c r="CS131" i="2"/>
  <c r="CS179" i="2" s="1"/>
  <c r="CW155" i="2"/>
  <c r="CW203" i="2" s="1"/>
  <c r="CW131" i="2"/>
  <c r="CW179" i="2" s="1"/>
  <c r="D156" i="2"/>
  <c r="D204" i="2" s="1"/>
  <c r="D132" i="2"/>
  <c r="D180" i="2" s="1"/>
  <c r="H156" i="2"/>
  <c r="H204" i="2" s="1"/>
  <c r="H132" i="2"/>
  <c r="H180" i="2" s="1"/>
  <c r="L132" i="2"/>
  <c r="L180" i="2" s="1"/>
  <c r="L156" i="2"/>
  <c r="L204" i="2" s="1"/>
  <c r="P156" i="2"/>
  <c r="P204" i="2" s="1"/>
  <c r="P132" i="2"/>
  <c r="P180" i="2" s="1"/>
  <c r="T156" i="2"/>
  <c r="T204" i="2" s="1"/>
  <c r="T132" i="2"/>
  <c r="T180" i="2" s="1"/>
  <c r="X156" i="2"/>
  <c r="X204" i="2" s="1"/>
  <c r="X132" i="2"/>
  <c r="X180" i="2" s="1"/>
  <c r="AB156" i="2"/>
  <c r="AB204" i="2" s="1"/>
  <c r="AB132" i="2"/>
  <c r="AB180" i="2" s="1"/>
  <c r="AF156" i="2"/>
  <c r="AF204" i="2" s="1"/>
  <c r="AF132" i="2"/>
  <c r="AF180" i="2" s="1"/>
  <c r="AJ156" i="2"/>
  <c r="AJ204" i="2" s="1"/>
  <c r="AJ132" i="2"/>
  <c r="AJ180" i="2" s="1"/>
  <c r="AN156" i="2"/>
  <c r="AN204" i="2" s="1"/>
  <c r="AN132" i="2"/>
  <c r="AN180" i="2" s="1"/>
  <c r="AR156" i="2"/>
  <c r="AR204" i="2" s="1"/>
  <c r="AR132" i="2"/>
  <c r="AR180" i="2" s="1"/>
  <c r="AV156" i="2"/>
  <c r="AV204" i="2" s="1"/>
  <c r="AV132" i="2"/>
  <c r="AV180" i="2" s="1"/>
  <c r="AZ156" i="2"/>
  <c r="AZ204" i="2" s="1"/>
  <c r="AZ132" i="2"/>
  <c r="AZ180" i="2" s="1"/>
  <c r="BD156" i="2"/>
  <c r="BD204" i="2" s="1"/>
  <c r="BD132" i="2"/>
  <c r="BD180" i="2" s="1"/>
  <c r="BH156" i="2"/>
  <c r="BH204" i="2" s="1"/>
  <c r="BH132" i="2"/>
  <c r="BH180" i="2" s="1"/>
  <c r="BL156" i="2"/>
  <c r="BL204" i="2" s="1"/>
  <c r="BL132" i="2"/>
  <c r="BL180" i="2" s="1"/>
  <c r="BP156" i="2"/>
  <c r="BP204" i="2" s="1"/>
  <c r="BP132" i="2"/>
  <c r="BP180" i="2" s="1"/>
  <c r="BT156" i="2"/>
  <c r="BT204" i="2" s="1"/>
  <c r="BT132" i="2"/>
  <c r="BT180" i="2" s="1"/>
  <c r="BX132" i="2"/>
  <c r="BX180" i="2" s="1"/>
  <c r="BX156" i="2"/>
  <c r="BX204" i="2" s="1"/>
  <c r="CB156" i="2"/>
  <c r="CB204" i="2" s="1"/>
  <c r="CB132" i="2"/>
  <c r="CB180" i="2" s="1"/>
  <c r="CF156" i="2"/>
  <c r="CF204" i="2" s="1"/>
  <c r="CF132" i="2"/>
  <c r="CF180" i="2" s="1"/>
  <c r="CJ156" i="2"/>
  <c r="CJ204" i="2" s="1"/>
  <c r="CJ132" i="2"/>
  <c r="CJ180" i="2" s="1"/>
  <c r="CN156" i="2"/>
  <c r="CN204" i="2" s="1"/>
  <c r="CN132" i="2"/>
  <c r="CN180" i="2" s="1"/>
  <c r="CR156" i="2"/>
  <c r="CR132" i="2"/>
  <c r="CR180" i="2" s="1"/>
  <c r="CV156" i="2"/>
  <c r="CV204" i="2" s="1"/>
  <c r="CV132" i="2"/>
  <c r="CV180" i="2" s="1"/>
  <c r="C157" i="2"/>
  <c r="C133" i="2"/>
  <c r="C181" i="2" s="1"/>
  <c r="G157" i="2"/>
  <c r="G205" i="2" s="1"/>
  <c r="G133" i="2"/>
  <c r="G181" i="2" s="1"/>
  <c r="K157" i="2"/>
  <c r="K205" i="2" s="1"/>
  <c r="K133" i="2"/>
  <c r="K181" i="2" s="1"/>
  <c r="O157" i="2"/>
  <c r="O205" i="2" s="1"/>
  <c r="O133" i="2"/>
  <c r="O181" i="2" s="1"/>
  <c r="S157" i="2"/>
  <c r="S205" i="2" s="1"/>
  <c r="S133" i="2"/>
  <c r="S181" i="2" s="1"/>
  <c r="W157" i="2"/>
  <c r="W205" i="2" s="1"/>
  <c r="W133" i="2"/>
  <c r="W181" i="2" s="1"/>
  <c r="AA157" i="2"/>
  <c r="AA205" i="2" s="1"/>
  <c r="AA133" i="2"/>
  <c r="AA181" i="2" s="1"/>
  <c r="AE157" i="2"/>
  <c r="AE205" i="2" s="1"/>
  <c r="AE133" i="2"/>
  <c r="AE181" i="2" s="1"/>
  <c r="AI157" i="2"/>
  <c r="AI205" i="2" s="1"/>
  <c r="AI133" i="2"/>
  <c r="AI181" i="2" s="1"/>
  <c r="AM157" i="2"/>
  <c r="AM205" i="2" s="1"/>
  <c r="AM133" i="2"/>
  <c r="AM181" i="2" s="1"/>
  <c r="AQ157" i="2"/>
  <c r="AQ205" i="2" s="1"/>
  <c r="AQ133" i="2"/>
  <c r="AQ181" i="2" s="1"/>
  <c r="AU157" i="2"/>
  <c r="AU205" i="2" s="1"/>
  <c r="AU133" i="2"/>
  <c r="AU181" i="2" s="1"/>
  <c r="AY157" i="2"/>
  <c r="AY205" i="2" s="1"/>
  <c r="AY133" i="2"/>
  <c r="AY181" i="2" s="1"/>
  <c r="BC157" i="2"/>
  <c r="BC205" i="2" s="1"/>
  <c r="BC133" i="2"/>
  <c r="BC181" i="2" s="1"/>
  <c r="BG157" i="2"/>
  <c r="BG205" i="2" s="1"/>
  <c r="BG133" i="2"/>
  <c r="BG181" i="2" s="1"/>
  <c r="BK157" i="2"/>
  <c r="BK205" i="2" s="1"/>
  <c r="BK133" i="2"/>
  <c r="BK181" i="2" s="1"/>
  <c r="BO157" i="2"/>
  <c r="BO205" i="2" s="1"/>
  <c r="BO133" i="2"/>
  <c r="BO181" i="2" s="1"/>
  <c r="BS157" i="2"/>
  <c r="BS205" i="2" s="1"/>
  <c r="BS133" i="2"/>
  <c r="BS181" i="2" s="1"/>
  <c r="BW157" i="2"/>
  <c r="BW205" i="2" s="1"/>
  <c r="BW133" i="2"/>
  <c r="BW181" i="2" s="1"/>
  <c r="CA157" i="2"/>
  <c r="CA205" i="2" s="1"/>
  <c r="CA133" i="2"/>
  <c r="CA181" i="2" s="1"/>
  <c r="CE157" i="2"/>
  <c r="CE205" i="2" s="1"/>
  <c r="CE133" i="2"/>
  <c r="CE181" i="2" s="1"/>
  <c r="CI157" i="2"/>
  <c r="CI205" i="2" s="1"/>
  <c r="CI133" i="2"/>
  <c r="CI181" i="2" s="1"/>
  <c r="CM157" i="2"/>
  <c r="CM205" i="2" s="1"/>
  <c r="CM133" i="2"/>
  <c r="CM181" i="2" s="1"/>
  <c r="CQ157" i="2"/>
  <c r="CQ205" i="2" s="1"/>
  <c r="CQ133" i="2"/>
  <c r="CQ181" i="2" s="1"/>
  <c r="CU157" i="2"/>
  <c r="CU133" i="2"/>
  <c r="CU181" i="2" s="1"/>
  <c r="CY157" i="2"/>
  <c r="CY205" i="2" s="1"/>
  <c r="CY133" i="2"/>
  <c r="CY181" i="2" s="1"/>
  <c r="F158" i="2"/>
  <c r="F206" i="2" s="1"/>
  <c r="F134" i="2"/>
  <c r="F182" i="2" s="1"/>
  <c r="J158" i="2"/>
  <c r="J206" i="2" s="1"/>
  <c r="J134" i="2"/>
  <c r="J182" i="2" s="1"/>
  <c r="N158" i="2"/>
  <c r="N206" i="2" s="1"/>
  <c r="N134" i="2"/>
  <c r="N182" i="2" s="1"/>
  <c r="R158" i="2"/>
  <c r="R206" i="2" s="1"/>
  <c r="R134" i="2"/>
  <c r="R182" i="2" s="1"/>
  <c r="V158" i="2"/>
  <c r="V206" i="2" s="1"/>
  <c r="V134" i="2"/>
  <c r="V182" i="2" s="1"/>
  <c r="Z158" i="2"/>
  <c r="Z206" i="2" s="1"/>
  <c r="Z134" i="2"/>
  <c r="Z182" i="2" s="1"/>
  <c r="AD158" i="2"/>
  <c r="AD206" i="2" s="1"/>
  <c r="AD134" i="2"/>
  <c r="AD182" i="2" s="1"/>
  <c r="AH158" i="2"/>
  <c r="AH206" i="2" s="1"/>
  <c r="AH134" i="2"/>
  <c r="AH182" i="2" s="1"/>
  <c r="AL158" i="2"/>
  <c r="AL206" i="2" s="1"/>
  <c r="AL134" i="2"/>
  <c r="AL182" i="2" s="1"/>
  <c r="AP158" i="2"/>
  <c r="AP206" i="2" s="1"/>
  <c r="AP134" i="2"/>
  <c r="AP182" i="2" s="1"/>
  <c r="AT158" i="2"/>
  <c r="AT206" i="2" s="1"/>
  <c r="AT134" i="2"/>
  <c r="AT182" i="2" s="1"/>
  <c r="AX158" i="2"/>
  <c r="AX206" i="2" s="1"/>
  <c r="AX134" i="2"/>
  <c r="AX182" i="2" s="1"/>
  <c r="BB158" i="2"/>
  <c r="BB206" i="2" s="1"/>
  <c r="BB134" i="2"/>
  <c r="BB182" i="2" s="1"/>
  <c r="BF158" i="2"/>
  <c r="BF206" i="2" s="1"/>
  <c r="BF134" i="2"/>
  <c r="BF182" i="2" s="1"/>
  <c r="BJ158" i="2"/>
  <c r="BJ206" i="2" s="1"/>
  <c r="BJ134" i="2"/>
  <c r="BJ182" i="2" s="1"/>
  <c r="BN158" i="2"/>
  <c r="BN206" i="2" s="1"/>
  <c r="BN134" i="2"/>
  <c r="BN182" i="2" s="1"/>
  <c r="BR158" i="2"/>
  <c r="BR206" i="2" s="1"/>
  <c r="BR134" i="2"/>
  <c r="BR182" i="2" s="1"/>
  <c r="BV158" i="2"/>
  <c r="BV206" i="2" s="1"/>
  <c r="BV134" i="2"/>
  <c r="BV182" i="2" s="1"/>
  <c r="BZ158" i="2"/>
  <c r="BZ206" i="2" s="1"/>
  <c r="BZ134" i="2"/>
  <c r="BZ182" i="2" s="1"/>
  <c r="CD158" i="2"/>
  <c r="CD206" i="2" s="1"/>
  <c r="CD134" i="2"/>
  <c r="CD182" i="2" s="1"/>
  <c r="CH158" i="2"/>
  <c r="CH206" i="2" s="1"/>
  <c r="CH134" i="2"/>
  <c r="CH182" i="2" s="1"/>
  <c r="CL158" i="2"/>
  <c r="CL134" i="2"/>
  <c r="CL182" i="2" s="1"/>
  <c r="CP158" i="2"/>
  <c r="CP206" i="2" s="1"/>
  <c r="CP134" i="2"/>
  <c r="CP182" i="2" s="1"/>
  <c r="CT158" i="2"/>
  <c r="CT206" i="2" s="1"/>
  <c r="CT134" i="2"/>
  <c r="CT182" i="2" s="1"/>
  <c r="CX158" i="2"/>
  <c r="CX206" i="2" s="1"/>
  <c r="CX134" i="2"/>
  <c r="CX182" i="2" s="1"/>
  <c r="E159" i="2"/>
  <c r="E207" i="2" s="1"/>
  <c r="E135" i="2"/>
  <c r="E183" i="2" s="1"/>
  <c r="I159" i="2"/>
  <c r="I207" i="2" s="1"/>
  <c r="I135" i="2"/>
  <c r="I183" i="2" s="1"/>
  <c r="M159" i="2"/>
  <c r="M207" i="2" s="1"/>
  <c r="M135" i="2"/>
  <c r="M183" i="2" s="1"/>
  <c r="Q159" i="2"/>
  <c r="Q207" i="2" s="1"/>
  <c r="Q135" i="2"/>
  <c r="Q183" i="2" s="1"/>
  <c r="U159" i="2"/>
  <c r="U207" i="2" s="1"/>
  <c r="U135" i="2"/>
  <c r="U183" i="2" s="1"/>
  <c r="Y159" i="2"/>
  <c r="Y207" i="2" s="1"/>
  <c r="Y135" i="2"/>
  <c r="Y183" i="2" s="1"/>
  <c r="AC159" i="2"/>
  <c r="AC207" i="2" s="1"/>
  <c r="AC135" i="2"/>
  <c r="AC183" i="2" s="1"/>
  <c r="AG159" i="2"/>
  <c r="AG207" i="2" s="1"/>
  <c r="AG135" i="2"/>
  <c r="AG183" i="2" s="1"/>
  <c r="AK159" i="2"/>
  <c r="AK207" i="2" s="1"/>
  <c r="AK135" i="2"/>
  <c r="AK183" i="2" s="1"/>
  <c r="AO159" i="2"/>
  <c r="AO207" i="2" s="1"/>
  <c r="AO135" i="2"/>
  <c r="AO183" i="2" s="1"/>
  <c r="AS159" i="2"/>
  <c r="AS207" i="2" s="1"/>
  <c r="AS135" i="2"/>
  <c r="AS183" i="2" s="1"/>
  <c r="AW159" i="2"/>
  <c r="AW207" i="2" s="1"/>
  <c r="AW135" i="2"/>
  <c r="AW183" i="2" s="1"/>
  <c r="BA159" i="2"/>
  <c r="BA207" i="2" s="1"/>
  <c r="BA135" i="2"/>
  <c r="BA183" i="2" s="1"/>
  <c r="BE159" i="2"/>
  <c r="BE207" i="2" s="1"/>
  <c r="BE135" i="2"/>
  <c r="BE183" i="2" s="1"/>
  <c r="BI159" i="2"/>
  <c r="BI207" i="2" s="1"/>
  <c r="BI135" i="2"/>
  <c r="BI183" i="2" s="1"/>
  <c r="BM159" i="2"/>
  <c r="BM207" i="2" s="1"/>
  <c r="BM135" i="2"/>
  <c r="BM183" i="2" s="1"/>
  <c r="BQ159" i="2"/>
  <c r="BQ207" i="2" s="1"/>
  <c r="BQ135" i="2"/>
  <c r="BQ183" i="2" s="1"/>
  <c r="BU159" i="2"/>
  <c r="BU207" i="2" s="1"/>
  <c r="BU135" i="2"/>
  <c r="BU183" i="2" s="1"/>
  <c r="BY159" i="2"/>
  <c r="BY207" i="2" s="1"/>
  <c r="BY135" i="2"/>
  <c r="BY183" i="2" s="1"/>
  <c r="CC159" i="2"/>
  <c r="CC207" i="2" s="1"/>
  <c r="CC135" i="2"/>
  <c r="CC183" i="2" s="1"/>
  <c r="CG159" i="2"/>
  <c r="CG207" i="2" s="1"/>
  <c r="CG135" i="2"/>
  <c r="CG183" i="2" s="1"/>
  <c r="CK159" i="2"/>
  <c r="CK207" i="2" s="1"/>
  <c r="CK135" i="2"/>
  <c r="CK183" i="2" s="1"/>
  <c r="CO159" i="2"/>
  <c r="CO135" i="2"/>
  <c r="CO183" i="2" s="1"/>
  <c r="CS159" i="2"/>
  <c r="CS207" i="2" s="1"/>
  <c r="CS135" i="2"/>
  <c r="CS183" i="2" s="1"/>
  <c r="CW159" i="2"/>
  <c r="CW207" i="2" s="1"/>
  <c r="CW135" i="2"/>
  <c r="CW183" i="2" s="1"/>
  <c r="D160" i="2"/>
  <c r="D208" i="2" s="1"/>
  <c r="D136" i="2"/>
  <c r="D184" i="2" s="1"/>
  <c r="H160" i="2"/>
  <c r="H208" i="2" s="1"/>
  <c r="H136" i="2"/>
  <c r="H184" i="2" s="1"/>
  <c r="L160" i="2"/>
  <c r="L208" i="2" s="1"/>
  <c r="L136" i="2"/>
  <c r="L184" i="2" s="1"/>
  <c r="P160" i="2"/>
  <c r="P208" i="2" s="1"/>
  <c r="P136" i="2"/>
  <c r="P184" i="2" s="1"/>
  <c r="T160" i="2"/>
  <c r="T208" i="2" s="1"/>
  <c r="T136" i="2"/>
  <c r="T184" i="2" s="1"/>
  <c r="X160" i="2"/>
  <c r="X208" i="2" s="1"/>
  <c r="X136" i="2"/>
  <c r="X184" i="2" s="1"/>
  <c r="AB160" i="2"/>
  <c r="AB208" i="2" s="1"/>
  <c r="AB136" i="2"/>
  <c r="AB184" i="2" s="1"/>
  <c r="AF160" i="2"/>
  <c r="AF208" i="2" s="1"/>
  <c r="AF136" i="2"/>
  <c r="AF184" i="2" s="1"/>
  <c r="AJ160" i="2"/>
  <c r="AJ208" i="2" s="1"/>
  <c r="AJ136" i="2"/>
  <c r="AJ184" i="2" s="1"/>
  <c r="AN160" i="2"/>
  <c r="AN208" i="2" s="1"/>
  <c r="AN136" i="2"/>
  <c r="AN184" i="2" s="1"/>
  <c r="AR160" i="2"/>
  <c r="AR208" i="2" s="1"/>
  <c r="AR136" i="2"/>
  <c r="AR184" i="2" s="1"/>
  <c r="AV160" i="2"/>
  <c r="AV208" i="2" s="1"/>
  <c r="AV136" i="2"/>
  <c r="AV184" i="2" s="1"/>
  <c r="AZ160" i="2"/>
  <c r="AZ208" i="2" s="1"/>
  <c r="AZ136" i="2"/>
  <c r="AZ184" i="2" s="1"/>
  <c r="BD160" i="2"/>
  <c r="BD208" i="2" s="1"/>
  <c r="BD136" i="2"/>
  <c r="BD184" i="2" s="1"/>
  <c r="BH160" i="2"/>
  <c r="BH208" i="2" s="1"/>
  <c r="BH136" i="2"/>
  <c r="BH184" i="2" s="1"/>
  <c r="BL160" i="2"/>
  <c r="BL208" i="2" s="1"/>
  <c r="BL136" i="2"/>
  <c r="BL184" i="2" s="1"/>
  <c r="BP160" i="2"/>
  <c r="BP208" i="2" s="1"/>
  <c r="BP136" i="2"/>
  <c r="BP184" i="2" s="1"/>
  <c r="BT160" i="2"/>
  <c r="BT208" i="2" s="1"/>
  <c r="BT136" i="2"/>
  <c r="BT184" i="2" s="1"/>
  <c r="BX160" i="2"/>
  <c r="BX208" i="2" s="1"/>
  <c r="BX136" i="2"/>
  <c r="BX184" i="2" s="1"/>
  <c r="CB160" i="2"/>
  <c r="CB208" i="2" s="1"/>
  <c r="CB136" i="2"/>
  <c r="CB184" i="2" s="1"/>
  <c r="CF160" i="2"/>
  <c r="CF208" i="2" s="1"/>
  <c r="CF136" i="2"/>
  <c r="CF184" i="2" s="1"/>
  <c r="CJ160" i="2"/>
  <c r="CJ136" i="2"/>
  <c r="CJ184" i="2" s="1"/>
  <c r="CN160" i="2"/>
  <c r="CN208" i="2" s="1"/>
  <c r="CN136" i="2"/>
  <c r="CN184" i="2" s="1"/>
  <c r="CR160" i="2"/>
  <c r="CR208" i="2" s="1"/>
  <c r="CR136" i="2"/>
  <c r="CR184" i="2" s="1"/>
  <c r="CV160" i="2"/>
  <c r="CV208" i="2" s="1"/>
  <c r="CV136" i="2"/>
  <c r="CV184" i="2" s="1"/>
  <c r="C161" i="2"/>
  <c r="C137" i="2"/>
  <c r="C185" i="2" s="1"/>
  <c r="G161" i="2"/>
  <c r="G209" i="2" s="1"/>
  <c r="G137" i="2"/>
  <c r="G185" i="2" s="1"/>
  <c r="K161" i="2"/>
  <c r="K209" i="2" s="1"/>
  <c r="K137" i="2"/>
  <c r="K185" i="2" s="1"/>
  <c r="O161" i="2"/>
  <c r="O209" i="2" s="1"/>
  <c r="O137" i="2"/>
  <c r="O185" i="2" s="1"/>
  <c r="S161" i="2"/>
  <c r="S209" i="2" s="1"/>
  <c r="S137" i="2"/>
  <c r="S185" i="2" s="1"/>
  <c r="W161" i="2"/>
  <c r="W209" i="2" s="1"/>
  <c r="W137" i="2"/>
  <c r="W185" i="2" s="1"/>
  <c r="AA161" i="2"/>
  <c r="AA209" i="2" s="1"/>
  <c r="AA137" i="2"/>
  <c r="AA185" i="2" s="1"/>
  <c r="AE161" i="2"/>
  <c r="AE209" i="2" s="1"/>
  <c r="AE137" i="2"/>
  <c r="AE185" i="2" s="1"/>
  <c r="AI161" i="2"/>
  <c r="AI209" i="2" s="1"/>
  <c r="AI137" i="2"/>
  <c r="AI185" i="2" s="1"/>
  <c r="AM161" i="2"/>
  <c r="AM209" i="2" s="1"/>
  <c r="AM137" i="2"/>
  <c r="AM185" i="2" s="1"/>
  <c r="AQ161" i="2"/>
  <c r="AQ209" i="2" s="1"/>
  <c r="AQ137" i="2"/>
  <c r="AQ185" i="2" s="1"/>
  <c r="AU161" i="2"/>
  <c r="AU209" i="2" s="1"/>
  <c r="AU137" i="2"/>
  <c r="AU185" i="2" s="1"/>
  <c r="AY161" i="2"/>
  <c r="AY209" i="2" s="1"/>
  <c r="AY137" i="2"/>
  <c r="AY185" i="2" s="1"/>
  <c r="BC161" i="2"/>
  <c r="BC209" i="2" s="1"/>
  <c r="BC137" i="2"/>
  <c r="BC185" i="2" s="1"/>
  <c r="BG161" i="2"/>
  <c r="BG209" i="2" s="1"/>
  <c r="BG137" i="2"/>
  <c r="BG185" i="2" s="1"/>
  <c r="BK161" i="2"/>
  <c r="BK209" i="2" s="1"/>
  <c r="BK137" i="2"/>
  <c r="BK185" i="2" s="1"/>
  <c r="BO161" i="2"/>
  <c r="BO209" i="2" s="1"/>
  <c r="BO137" i="2"/>
  <c r="BO185" i="2" s="1"/>
  <c r="BS161" i="2"/>
  <c r="BS209" i="2" s="1"/>
  <c r="BS137" i="2"/>
  <c r="BS185" i="2" s="1"/>
  <c r="BW161" i="2"/>
  <c r="BW209" i="2" s="1"/>
  <c r="BW137" i="2"/>
  <c r="BW185" i="2" s="1"/>
  <c r="CA161" i="2"/>
  <c r="CA209" i="2" s="1"/>
  <c r="CA137" i="2"/>
  <c r="CA185" i="2" s="1"/>
  <c r="CE161" i="2"/>
  <c r="CE209" i="2" s="1"/>
  <c r="CE137" i="2"/>
  <c r="CE185" i="2" s="1"/>
  <c r="CI161" i="2"/>
  <c r="CI209" i="2" s="1"/>
  <c r="CI137" i="2"/>
  <c r="CI185" i="2" s="1"/>
  <c r="CM161" i="2"/>
  <c r="CM209" i="2" s="1"/>
  <c r="CM137" i="2"/>
  <c r="CM185" i="2" s="1"/>
  <c r="CQ161" i="2"/>
  <c r="CQ209" i="2" s="1"/>
  <c r="CQ137" i="2"/>
  <c r="CQ185" i="2" s="1"/>
  <c r="CU161" i="2"/>
  <c r="CU209" i="2" s="1"/>
  <c r="CU137" i="2"/>
  <c r="CU185" i="2" s="1"/>
  <c r="CY161" i="2"/>
  <c r="CY209" i="2" s="1"/>
  <c r="CY137" i="2"/>
  <c r="CY185" i="2" s="1"/>
  <c r="F162" i="2"/>
  <c r="F210" i="2" s="1"/>
  <c r="F138" i="2"/>
  <c r="F186" i="2" s="1"/>
  <c r="J162" i="2"/>
  <c r="J210" i="2" s="1"/>
  <c r="J138" i="2"/>
  <c r="J186" i="2" s="1"/>
  <c r="N162" i="2"/>
  <c r="N210" i="2" s="1"/>
  <c r="N138" i="2"/>
  <c r="N186" i="2" s="1"/>
  <c r="R162" i="2"/>
  <c r="R210" i="2" s="1"/>
  <c r="R138" i="2"/>
  <c r="R186" i="2" s="1"/>
  <c r="V162" i="2"/>
  <c r="V210" i="2" s="1"/>
  <c r="V138" i="2"/>
  <c r="V186" i="2" s="1"/>
  <c r="Z162" i="2"/>
  <c r="Z210" i="2" s="1"/>
  <c r="Z138" i="2"/>
  <c r="Z186" i="2" s="1"/>
  <c r="AD162" i="2"/>
  <c r="AD210" i="2" s="1"/>
  <c r="AD138" i="2"/>
  <c r="AD186" i="2" s="1"/>
  <c r="AH162" i="2"/>
  <c r="AH210" i="2" s="1"/>
  <c r="AH138" i="2"/>
  <c r="AH186" i="2" s="1"/>
  <c r="AL162" i="2"/>
  <c r="AL210" i="2" s="1"/>
  <c r="AL138" i="2"/>
  <c r="AL186" i="2" s="1"/>
  <c r="AP162" i="2"/>
  <c r="AP210" i="2" s="1"/>
  <c r="AP138" i="2"/>
  <c r="AP186" i="2" s="1"/>
  <c r="AT162" i="2"/>
  <c r="AT210" i="2" s="1"/>
  <c r="AT138" i="2"/>
  <c r="AT186" i="2" s="1"/>
  <c r="AX138" i="2"/>
  <c r="AX186" i="2" s="1"/>
  <c r="AX162" i="2"/>
  <c r="AX210" i="2" s="1"/>
  <c r="BB162" i="2"/>
  <c r="BB210" i="2" s="1"/>
  <c r="BB138" i="2"/>
  <c r="BB186" i="2" s="1"/>
  <c r="BF162" i="2"/>
  <c r="BF210" i="2" s="1"/>
  <c r="BF138" i="2"/>
  <c r="BF186" i="2" s="1"/>
  <c r="BJ162" i="2"/>
  <c r="BJ210" i="2" s="1"/>
  <c r="BJ138" i="2"/>
  <c r="BJ186" i="2" s="1"/>
  <c r="BN162" i="2"/>
  <c r="BN210" i="2" s="1"/>
  <c r="BN138" i="2"/>
  <c r="BN186" i="2" s="1"/>
  <c r="BR162" i="2"/>
  <c r="BR210" i="2" s="1"/>
  <c r="BR138" i="2"/>
  <c r="BR186" i="2" s="1"/>
  <c r="BV162" i="2"/>
  <c r="BV210" i="2" s="1"/>
  <c r="BV138" i="2"/>
  <c r="BV186" i="2" s="1"/>
  <c r="BZ162" i="2"/>
  <c r="BZ210" i="2" s="1"/>
  <c r="BZ138" i="2"/>
  <c r="BZ186" i="2" s="1"/>
  <c r="CD162" i="2"/>
  <c r="CD210" i="2" s="1"/>
  <c r="CD138" i="2"/>
  <c r="CD186" i="2" s="1"/>
  <c r="CH162" i="2"/>
  <c r="CH210" i="2" s="1"/>
  <c r="CH138" i="2"/>
  <c r="CH186" i="2" s="1"/>
  <c r="CL162" i="2"/>
  <c r="CL210" i="2" s="1"/>
  <c r="CL138" i="2"/>
  <c r="CL186" i="2" s="1"/>
  <c r="CP162" i="2"/>
  <c r="CP210" i="2" s="1"/>
  <c r="CP138" i="2"/>
  <c r="CP186" i="2" s="1"/>
  <c r="CT162" i="2"/>
  <c r="CT210" i="2" s="1"/>
  <c r="CT138" i="2"/>
  <c r="CT186" i="2" s="1"/>
  <c r="CX162" i="2"/>
  <c r="CX210" i="2" s="1"/>
  <c r="CX138" i="2"/>
  <c r="CX186" i="2" s="1"/>
  <c r="E139" i="2"/>
  <c r="E187" i="2" s="1"/>
  <c r="E163" i="2"/>
  <c r="E211" i="2" s="1"/>
  <c r="I163" i="2"/>
  <c r="I211" i="2" s="1"/>
  <c r="I139" i="2"/>
  <c r="I187" i="2" s="1"/>
  <c r="M163" i="2"/>
  <c r="M211" i="2" s="1"/>
  <c r="M139" i="2"/>
  <c r="M187" i="2" s="1"/>
  <c r="Q163" i="2"/>
  <c r="Q211" i="2" s="1"/>
  <c r="Q139" i="2"/>
  <c r="Q187" i="2" s="1"/>
  <c r="U163" i="2"/>
  <c r="U211" i="2" s="1"/>
  <c r="U139" i="2"/>
  <c r="U187" i="2" s="1"/>
  <c r="Y163" i="2"/>
  <c r="Y211" i="2" s="1"/>
  <c r="Y139" i="2"/>
  <c r="Y187" i="2" s="1"/>
  <c r="AC163" i="2"/>
  <c r="AC211" i="2" s="1"/>
  <c r="AC139" i="2"/>
  <c r="AC187" i="2" s="1"/>
  <c r="AG163" i="2"/>
  <c r="AG211" i="2" s="1"/>
  <c r="AG139" i="2"/>
  <c r="AG187" i="2" s="1"/>
  <c r="AK163" i="2"/>
  <c r="AK211" i="2" s="1"/>
  <c r="AK139" i="2"/>
  <c r="AK187" i="2" s="1"/>
  <c r="AO163" i="2"/>
  <c r="AO211" i="2" s="1"/>
  <c r="AO139" i="2"/>
  <c r="AO187" i="2" s="1"/>
  <c r="AS163" i="2"/>
  <c r="AS211" i="2" s="1"/>
  <c r="AS139" i="2"/>
  <c r="AS187" i="2" s="1"/>
  <c r="AW163" i="2"/>
  <c r="AW211" i="2" s="1"/>
  <c r="AW139" i="2"/>
  <c r="AW187" i="2" s="1"/>
  <c r="BA163" i="2"/>
  <c r="BA211" i="2" s="1"/>
  <c r="BA139" i="2"/>
  <c r="BA187" i="2" s="1"/>
  <c r="BE163" i="2"/>
  <c r="BE211" i="2" s="1"/>
  <c r="BE139" i="2"/>
  <c r="BE187" i="2" s="1"/>
  <c r="BI163" i="2"/>
  <c r="BI211" i="2" s="1"/>
  <c r="BI139" i="2"/>
  <c r="BI187" i="2" s="1"/>
  <c r="BM163" i="2"/>
  <c r="BM211" i="2" s="1"/>
  <c r="BM139" i="2"/>
  <c r="BM187" i="2" s="1"/>
  <c r="BQ163" i="2"/>
  <c r="BQ211" i="2" s="1"/>
  <c r="BQ139" i="2"/>
  <c r="BQ187" i="2" s="1"/>
  <c r="BU163" i="2"/>
  <c r="BU211" i="2" s="1"/>
  <c r="BU139" i="2"/>
  <c r="BU187" i="2" s="1"/>
  <c r="BY163" i="2"/>
  <c r="BY211" i="2" s="1"/>
  <c r="BY139" i="2"/>
  <c r="BY187" i="2" s="1"/>
  <c r="CC163" i="2"/>
  <c r="CC211" i="2" s="1"/>
  <c r="CC139" i="2"/>
  <c r="CC187" i="2" s="1"/>
  <c r="CG163" i="2"/>
  <c r="CG211" i="2" s="1"/>
  <c r="CG139" i="2"/>
  <c r="CG187" i="2" s="1"/>
  <c r="CK163" i="2"/>
  <c r="CK139" i="2"/>
  <c r="CK187" i="2" s="1"/>
  <c r="CO163" i="2"/>
  <c r="CO211" i="2" s="1"/>
  <c r="CO139" i="2"/>
  <c r="CO187" i="2" s="1"/>
  <c r="CS163" i="2"/>
  <c r="CS139" i="2"/>
  <c r="CS187" i="2" s="1"/>
  <c r="CW163" i="2"/>
  <c r="CW211" i="2" s="1"/>
  <c r="CW139" i="2"/>
  <c r="CW187" i="2" s="1"/>
  <c r="D164" i="2"/>
  <c r="D212" i="2" s="1"/>
  <c r="D140" i="2"/>
  <c r="D188" i="2" s="1"/>
  <c r="H164" i="2"/>
  <c r="H212" i="2" s="1"/>
  <c r="H140" i="2"/>
  <c r="H188" i="2" s="1"/>
  <c r="L164" i="2"/>
  <c r="L212" i="2" s="1"/>
  <c r="L140" i="2"/>
  <c r="P164" i="2"/>
  <c r="P212" i="2" s="1"/>
  <c r="P140" i="2"/>
  <c r="P188" i="2" s="1"/>
  <c r="T164" i="2"/>
  <c r="T212" i="2" s="1"/>
  <c r="T140" i="2"/>
  <c r="T188" i="2" s="1"/>
  <c r="X164" i="2"/>
  <c r="X212" i="2" s="1"/>
  <c r="X140" i="2"/>
  <c r="X188" i="2" s="1"/>
  <c r="AB164" i="2"/>
  <c r="AB212" i="2" s="1"/>
  <c r="AB140" i="2"/>
  <c r="AB188" i="2" s="1"/>
  <c r="AF164" i="2"/>
  <c r="AF212" i="2" s="1"/>
  <c r="AF140" i="2"/>
  <c r="AF188" i="2" s="1"/>
  <c r="AJ164" i="2"/>
  <c r="AJ212" i="2" s="1"/>
  <c r="AJ140" i="2"/>
  <c r="AJ188" i="2" s="1"/>
  <c r="AN164" i="2"/>
  <c r="AN212" i="2" s="1"/>
  <c r="AN140" i="2"/>
  <c r="AN188" i="2" s="1"/>
  <c r="AR164" i="2"/>
  <c r="AR212" i="2" s="1"/>
  <c r="AR140" i="2"/>
  <c r="AR188" i="2" s="1"/>
  <c r="AV164" i="2"/>
  <c r="AV212" i="2" s="1"/>
  <c r="AV140" i="2"/>
  <c r="AV188" i="2" s="1"/>
  <c r="AZ164" i="2"/>
  <c r="AZ212" i="2" s="1"/>
  <c r="AZ140" i="2"/>
  <c r="AZ188" i="2" s="1"/>
  <c r="BD164" i="2"/>
  <c r="BD212" i="2" s="1"/>
  <c r="BD140" i="2"/>
  <c r="BD188" i="2" s="1"/>
  <c r="BH164" i="2"/>
  <c r="BH212" i="2" s="1"/>
  <c r="BH140" i="2"/>
  <c r="BH188" i="2" s="1"/>
  <c r="BL164" i="2"/>
  <c r="BL212" i="2" s="1"/>
  <c r="BL140" i="2"/>
  <c r="BL188" i="2" s="1"/>
  <c r="BP164" i="2"/>
  <c r="BP212" i="2" s="1"/>
  <c r="BP140" i="2"/>
  <c r="BP188" i="2" s="1"/>
  <c r="BT164" i="2"/>
  <c r="BT140" i="2"/>
  <c r="BT188" i="2" s="1"/>
  <c r="BX164" i="2"/>
  <c r="BX212" i="2" s="1"/>
  <c r="BX140" i="2"/>
  <c r="BX188" i="2" s="1"/>
  <c r="CB164" i="2"/>
  <c r="CB212" i="2" s="1"/>
  <c r="CB140" i="2"/>
  <c r="CB188" i="2" s="1"/>
  <c r="CF164" i="2"/>
  <c r="CF212" i="2" s="1"/>
  <c r="CF140" i="2"/>
  <c r="CF188" i="2" s="1"/>
  <c r="CJ164" i="2"/>
  <c r="CJ212" i="2" s="1"/>
  <c r="CJ140" i="2"/>
  <c r="CJ188" i="2" s="1"/>
  <c r="CN164" i="2"/>
  <c r="CN140" i="2"/>
  <c r="CN188" i="2" s="1"/>
  <c r="CR164" i="2"/>
  <c r="CR212" i="2" s="1"/>
  <c r="CR140" i="2"/>
  <c r="CR188" i="2" s="1"/>
  <c r="CV164" i="2"/>
  <c r="CV212" i="2" s="1"/>
  <c r="CV140" i="2"/>
  <c r="CV188" i="2" s="1"/>
  <c r="C165" i="2"/>
  <c r="C141" i="2"/>
  <c r="C189" i="2" s="1"/>
  <c r="G165" i="2"/>
  <c r="G213" i="2" s="1"/>
  <c r="G141" i="2"/>
  <c r="G189" i="2" s="1"/>
  <c r="K165" i="2"/>
  <c r="K213" i="2" s="1"/>
  <c r="K141" i="2"/>
  <c r="K189" i="2" s="1"/>
  <c r="O165" i="2"/>
  <c r="O213" i="2" s="1"/>
  <c r="O141" i="2"/>
  <c r="O189" i="2" s="1"/>
  <c r="S165" i="2"/>
  <c r="S213" i="2" s="1"/>
  <c r="S141" i="2"/>
  <c r="S189" i="2" s="1"/>
  <c r="W165" i="2"/>
  <c r="W213" i="2" s="1"/>
  <c r="W141" i="2"/>
  <c r="W189" i="2" s="1"/>
  <c r="AA165" i="2"/>
  <c r="AA213" i="2" s="1"/>
  <c r="AA141" i="2"/>
  <c r="AA189" i="2" s="1"/>
  <c r="AE165" i="2"/>
  <c r="AE213" i="2" s="1"/>
  <c r="AE141" i="2"/>
  <c r="AE189" i="2" s="1"/>
  <c r="AI165" i="2"/>
  <c r="AI213" i="2" s="1"/>
  <c r="AI141" i="2"/>
  <c r="AI189" i="2" s="1"/>
  <c r="AM165" i="2"/>
  <c r="AM213" i="2" s="1"/>
  <c r="AM141" i="2"/>
  <c r="AM189" i="2" s="1"/>
  <c r="AQ165" i="2"/>
  <c r="AQ213" i="2" s="1"/>
  <c r="AQ141" i="2"/>
  <c r="AQ189" i="2" s="1"/>
  <c r="AU165" i="2"/>
  <c r="AU213" i="2" s="1"/>
  <c r="AU141" i="2"/>
  <c r="AU189" i="2" s="1"/>
  <c r="AY165" i="2"/>
  <c r="AY213" i="2" s="1"/>
  <c r="AY141" i="2"/>
  <c r="AY189" i="2" s="1"/>
  <c r="BC165" i="2"/>
  <c r="BC213" i="2" s="1"/>
  <c r="BC141" i="2"/>
  <c r="BC189" i="2" s="1"/>
  <c r="BG165" i="2"/>
  <c r="BG213" i="2" s="1"/>
  <c r="BG141" i="2"/>
  <c r="BG189" i="2" s="1"/>
  <c r="BK165" i="2"/>
  <c r="BK213" i="2" s="1"/>
  <c r="BK141" i="2"/>
  <c r="BK189" i="2" s="1"/>
  <c r="BO165" i="2"/>
  <c r="BO213" i="2" s="1"/>
  <c r="BO141" i="2"/>
  <c r="BO189" i="2" s="1"/>
  <c r="BS165" i="2"/>
  <c r="BS213" i="2" s="1"/>
  <c r="BS141" i="2"/>
  <c r="BS189" i="2" s="1"/>
  <c r="BW165" i="2"/>
  <c r="BW213" i="2" s="1"/>
  <c r="BW141" i="2"/>
  <c r="BW189" i="2" s="1"/>
  <c r="CA165" i="2"/>
  <c r="CA213" i="2" s="1"/>
  <c r="CA141" i="2"/>
  <c r="CA189" i="2" s="1"/>
  <c r="CE165" i="2"/>
  <c r="CE213" i="2" s="1"/>
  <c r="CE141" i="2"/>
  <c r="CE189" i="2" s="1"/>
  <c r="CI165" i="2"/>
  <c r="CI213" i="2" s="1"/>
  <c r="CI141" i="2"/>
  <c r="CI189" i="2" s="1"/>
  <c r="CM165" i="2"/>
  <c r="CM141" i="2"/>
  <c r="CM189" i="2" s="1"/>
  <c r="CQ165" i="2"/>
  <c r="CQ213" i="2" s="1"/>
  <c r="CQ141" i="2"/>
  <c r="CQ189" i="2" s="1"/>
  <c r="CU165" i="2"/>
  <c r="CU213" i="2" s="1"/>
  <c r="CU141" i="2"/>
  <c r="CU189" i="2" s="1"/>
  <c r="CY165" i="2"/>
  <c r="CY213" i="2" s="1"/>
  <c r="CY141" i="2"/>
  <c r="CY189" i="2" s="1"/>
  <c r="F166" i="2"/>
  <c r="F214" i="2" s="1"/>
  <c r="F142" i="2"/>
  <c r="F190" i="2" s="1"/>
  <c r="J166" i="2"/>
  <c r="J214" i="2" s="1"/>
  <c r="J142" i="2"/>
  <c r="J190" i="2" s="1"/>
  <c r="N166" i="2"/>
  <c r="N214" i="2" s="1"/>
  <c r="N142" i="2"/>
  <c r="N190" i="2" s="1"/>
  <c r="R166" i="2"/>
  <c r="R214" i="2" s="1"/>
  <c r="R142" i="2"/>
  <c r="R190" i="2" s="1"/>
  <c r="V166" i="2"/>
  <c r="V214" i="2" s="1"/>
  <c r="V142" i="2"/>
  <c r="V190" i="2" s="1"/>
  <c r="Z166" i="2"/>
  <c r="Z214" i="2" s="1"/>
  <c r="Z142" i="2"/>
  <c r="Z190" i="2" s="1"/>
  <c r="AD166" i="2"/>
  <c r="AD214" i="2" s="1"/>
  <c r="AD142" i="2"/>
  <c r="AD190" i="2" s="1"/>
  <c r="AH166" i="2"/>
  <c r="AH214" i="2" s="1"/>
  <c r="AH142" i="2"/>
  <c r="AH190" i="2" s="1"/>
  <c r="AL166" i="2"/>
  <c r="AL214" i="2" s="1"/>
  <c r="AL142" i="2"/>
  <c r="AL190" i="2" s="1"/>
  <c r="AP166" i="2"/>
  <c r="AP214" i="2" s="1"/>
  <c r="AP142" i="2"/>
  <c r="AP190" i="2" s="1"/>
  <c r="AT166" i="2"/>
  <c r="AT214" i="2" s="1"/>
  <c r="AT142" i="2"/>
  <c r="AT190" i="2" s="1"/>
  <c r="AX166" i="2"/>
  <c r="AX214" i="2" s="1"/>
  <c r="AX142" i="2"/>
  <c r="AX190" i="2" s="1"/>
  <c r="BB166" i="2"/>
  <c r="BB214" i="2" s="1"/>
  <c r="BB142" i="2"/>
  <c r="BB190" i="2" s="1"/>
  <c r="BF166" i="2"/>
  <c r="BF214" i="2" s="1"/>
  <c r="BF142" i="2"/>
  <c r="BF190" i="2" s="1"/>
  <c r="BJ142" i="2"/>
  <c r="BJ190" i="2" s="1"/>
  <c r="BJ166" i="2"/>
  <c r="BJ214" i="2" s="1"/>
  <c r="BN166" i="2"/>
  <c r="BN214" i="2" s="1"/>
  <c r="BN142" i="2"/>
  <c r="BN190" i="2" s="1"/>
  <c r="BR166" i="2"/>
  <c r="BR214" i="2" s="1"/>
  <c r="BR142" i="2"/>
  <c r="BR190" i="2" s="1"/>
  <c r="BV166" i="2"/>
  <c r="BV214" i="2" s="1"/>
  <c r="BV142" i="2"/>
  <c r="BV190" i="2" s="1"/>
  <c r="BZ166" i="2"/>
  <c r="BZ214" i="2" s="1"/>
  <c r="BZ142" i="2"/>
  <c r="BZ190" i="2" s="1"/>
  <c r="CD166" i="2"/>
  <c r="CD214" i="2" s="1"/>
  <c r="CD142" i="2"/>
  <c r="CD190" i="2" s="1"/>
  <c r="CH166" i="2"/>
  <c r="CH214" i="2" s="1"/>
  <c r="CH142" i="2"/>
  <c r="CH190" i="2" s="1"/>
  <c r="CL166" i="2"/>
  <c r="CL214" i="2" s="1"/>
  <c r="CL142" i="2"/>
  <c r="CL190" i="2" s="1"/>
  <c r="CP166" i="2"/>
  <c r="CP214" i="2" s="1"/>
  <c r="CP142" i="2"/>
  <c r="CP190" i="2" s="1"/>
  <c r="CT166" i="2"/>
  <c r="CT142" i="2"/>
  <c r="CT190" i="2" s="1"/>
  <c r="CX166" i="2"/>
  <c r="CX214" i="2" s="1"/>
  <c r="CX142" i="2"/>
  <c r="CX190" i="2" s="1"/>
  <c r="E143" i="2"/>
  <c r="E191" i="2" s="1"/>
  <c r="E167" i="2"/>
  <c r="E215" i="2" s="1"/>
  <c r="I167" i="2"/>
  <c r="I215" i="2" s="1"/>
  <c r="I143" i="2"/>
  <c r="I191" i="2" s="1"/>
  <c r="M167" i="2"/>
  <c r="M215" i="2" s="1"/>
  <c r="M143" i="2"/>
  <c r="M191" i="2" s="1"/>
  <c r="Q167" i="2"/>
  <c r="Q215" i="2" s="1"/>
  <c r="Q143" i="2"/>
  <c r="Q191" i="2" s="1"/>
  <c r="U167" i="2"/>
  <c r="U215" i="2" s="1"/>
  <c r="U143" i="2"/>
  <c r="U191" i="2" s="1"/>
  <c r="Y167" i="2"/>
  <c r="Y215" i="2" s="1"/>
  <c r="Y143" i="2"/>
  <c r="Y191" i="2" s="1"/>
  <c r="AC167" i="2"/>
  <c r="AC215" i="2" s="1"/>
  <c r="AC143" i="2"/>
  <c r="AC191" i="2" s="1"/>
  <c r="AG167" i="2"/>
  <c r="AG215" i="2" s="1"/>
  <c r="AG143" i="2"/>
  <c r="AG191" i="2" s="1"/>
  <c r="AK167" i="2"/>
  <c r="AK215" i="2" s="1"/>
  <c r="AK143" i="2"/>
  <c r="AK191" i="2" s="1"/>
  <c r="AO167" i="2"/>
  <c r="AO215" i="2" s="1"/>
  <c r="AO143" i="2"/>
  <c r="AO191" i="2" s="1"/>
  <c r="AS167" i="2"/>
  <c r="AS215" i="2" s="1"/>
  <c r="AS143" i="2"/>
  <c r="AS191" i="2" s="1"/>
  <c r="AW167" i="2"/>
  <c r="AW215" i="2" s="1"/>
  <c r="AW143" i="2"/>
  <c r="AW191" i="2" s="1"/>
  <c r="BA167" i="2"/>
  <c r="BA215" i="2" s="1"/>
  <c r="BA143" i="2"/>
  <c r="BA191" i="2" s="1"/>
  <c r="BE167" i="2"/>
  <c r="BE215" i="2" s="1"/>
  <c r="BE143" i="2"/>
  <c r="BE191" i="2" s="1"/>
  <c r="BI167" i="2"/>
  <c r="BI215" i="2" s="1"/>
  <c r="BI143" i="2"/>
  <c r="BI191" i="2" s="1"/>
  <c r="BM167" i="2"/>
  <c r="BM215" i="2" s="1"/>
  <c r="BM143" i="2"/>
  <c r="BM191" i="2" s="1"/>
  <c r="BQ167" i="2"/>
  <c r="BQ215" i="2" s="1"/>
  <c r="BQ143" i="2"/>
  <c r="BQ191" i="2" s="1"/>
  <c r="BU167" i="2"/>
  <c r="BU215" i="2" s="1"/>
  <c r="BU143" i="2"/>
  <c r="BU191" i="2" s="1"/>
  <c r="BY167" i="2"/>
  <c r="BY215" i="2" s="1"/>
  <c r="BY143" i="2"/>
  <c r="BY191" i="2" s="1"/>
  <c r="CC167" i="2"/>
  <c r="CC215" i="2" s="1"/>
  <c r="CC143" i="2"/>
  <c r="CC191" i="2" s="1"/>
  <c r="CG167" i="2"/>
  <c r="CG143" i="2"/>
  <c r="CG191" i="2" s="1"/>
  <c r="CK167" i="2"/>
  <c r="CK215" i="2" s="1"/>
  <c r="CK143" i="2"/>
  <c r="CK191" i="2" s="1"/>
  <c r="CO167" i="2"/>
  <c r="CO215" i="2" s="1"/>
  <c r="CO143" i="2"/>
  <c r="CO191" i="2" s="1"/>
  <c r="CS167" i="2"/>
  <c r="CS215" i="2" s="1"/>
  <c r="CS143" i="2"/>
  <c r="CS191" i="2" s="1"/>
  <c r="CW167" i="2"/>
  <c r="CW215" i="2" s="1"/>
  <c r="CW143" i="2"/>
  <c r="CW191" i="2" s="1"/>
  <c r="D168" i="2"/>
  <c r="D216" i="2" s="1"/>
  <c r="D144" i="2"/>
  <c r="D192" i="2" s="1"/>
  <c r="H168" i="2"/>
  <c r="H216" i="2" s="1"/>
  <c r="H144" i="2"/>
  <c r="H192" i="2" s="1"/>
  <c r="L168" i="2"/>
  <c r="L216" i="2" s="1"/>
  <c r="L144" i="2"/>
  <c r="L192" i="2" s="1"/>
  <c r="P168" i="2"/>
  <c r="P216" i="2" s="1"/>
  <c r="P144" i="2"/>
  <c r="P192" i="2" s="1"/>
  <c r="T168" i="2"/>
  <c r="T216" i="2" s="1"/>
  <c r="T144" i="2"/>
  <c r="T192" i="2" s="1"/>
  <c r="X168" i="2"/>
  <c r="X216" i="2" s="1"/>
  <c r="X144" i="2"/>
  <c r="X192" i="2" s="1"/>
  <c r="AB168" i="2"/>
  <c r="AB216" i="2" s="1"/>
  <c r="AB144" i="2"/>
  <c r="AB192" i="2" s="1"/>
  <c r="AF168" i="2"/>
  <c r="AF216" i="2" s="1"/>
  <c r="AF144" i="2"/>
  <c r="AF192" i="2" s="1"/>
  <c r="AJ168" i="2"/>
  <c r="AJ216" i="2" s="1"/>
  <c r="AJ144" i="2"/>
  <c r="AJ192" i="2" s="1"/>
  <c r="AN168" i="2"/>
  <c r="AN216" i="2" s="1"/>
  <c r="AN144" i="2"/>
  <c r="AN192" i="2" s="1"/>
  <c r="AR168" i="2"/>
  <c r="AR216" i="2" s="1"/>
  <c r="AR144" i="2"/>
  <c r="AR192" i="2" s="1"/>
  <c r="AV168" i="2"/>
  <c r="AV216" i="2" s="1"/>
  <c r="AV144" i="2"/>
  <c r="AV192" i="2" s="1"/>
  <c r="AZ168" i="2"/>
  <c r="AZ216" i="2" s="1"/>
  <c r="AZ144" i="2"/>
  <c r="AZ192" i="2" s="1"/>
  <c r="BD168" i="2"/>
  <c r="BD216" i="2" s="1"/>
  <c r="BD144" i="2"/>
  <c r="BD192" i="2" s="1"/>
  <c r="BH168" i="2"/>
  <c r="BH216" i="2" s="1"/>
  <c r="BH144" i="2"/>
  <c r="BH192" i="2" s="1"/>
  <c r="BL168" i="2"/>
  <c r="BL216" i="2" s="1"/>
  <c r="BL144" i="2"/>
  <c r="BL192" i="2" s="1"/>
  <c r="BP168" i="2"/>
  <c r="BP216" i="2" s="1"/>
  <c r="BP144" i="2"/>
  <c r="BP192" i="2" s="1"/>
  <c r="BT168" i="2"/>
  <c r="BT216" i="2" s="1"/>
  <c r="BT144" i="2"/>
  <c r="BT192" i="2" s="1"/>
  <c r="BX168" i="2"/>
  <c r="BX216" i="2" s="1"/>
  <c r="BX144" i="2"/>
  <c r="BX192" i="2" s="1"/>
  <c r="CB168" i="2"/>
  <c r="CB216" i="2" s="1"/>
  <c r="CB144" i="2"/>
  <c r="CB192" i="2" s="1"/>
  <c r="CF168" i="2"/>
  <c r="CF216" i="2" s="1"/>
  <c r="CF144" i="2"/>
  <c r="CF192" i="2" s="1"/>
  <c r="CJ168" i="2"/>
  <c r="CJ216" i="2" s="1"/>
  <c r="CJ144" i="2"/>
  <c r="CJ192" i="2" s="1"/>
  <c r="CN168" i="2"/>
  <c r="CN216" i="2" s="1"/>
  <c r="CN144" i="2"/>
  <c r="CN192" i="2" s="1"/>
  <c r="CR168" i="2"/>
  <c r="CR216" i="2" s="1"/>
  <c r="CR144" i="2"/>
  <c r="CR192" i="2" s="1"/>
  <c r="CV168" i="2"/>
  <c r="CV216" i="2" s="1"/>
  <c r="CV144" i="2"/>
  <c r="CV192" i="2" s="1"/>
  <c r="C169" i="2"/>
  <c r="C145" i="2"/>
  <c r="C193" i="2" s="1"/>
  <c r="G169" i="2"/>
  <c r="G217" i="2" s="1"/>
  <c r="G145" i="2"/>
  <c r="G193" i="2" s="1"/>
  <c r="K169" i="2"/>
  <c r="K217" i="2" s="1"/>
  <c r="K145" i="2"/>
  <c r="K193" i="2" s="1"/>
  <c r="O169" i="2"/>
  <c r="O217" i="2" s="1"/>
  <c r="O145" i="2"/>
  <c r="O193" i="2" s="1"/>
  <c r="S169" i="2"/>
  <c r="S217" i="2" s="1"/>
  <c r="S145" i="2"/>
  <c r="S193" i="2" s="1"/>
  <c r="W169" i="2"/>
  <c r="W217" i="2" s="1"/>
  <c r="W145" i="2"/>
  <c r="W193" i="2" s="1"/>
  <c r="AA169" i="2"/>
  <c r="AA217" i="2" s="1"/>
  <c r="AA145" i="2"/>
  <c r="AA193" i="2" s="1"/>
  <c r="AE169" i="2"/>
  <c r="AE217" i="2" s="1"/>
  <c r="AE145" i="2"/>
  <c r="AE193" i="2" s="1"/>
  <c r="AI169" i="2"/>
  <c r="AI217" i="2" s="1"/>
  <c r="AI145" i="2"/>
  <c r="AI193" i="2" s="1"/>
  <c r="AM169" i="2"/>
  <c r="AM217" i="2" s="1"/>
  <c r="AM145" i="2"/>
  <c r="AM193" i="2" s="1"/>
  <c r="AQ169" i="2"/>
  <c r="AQ217" i="2" s="1"/>
  <c r="AQ145" i="2"/>
  <c r="AQ193" i="2" s="1"/>
  <c r="AU169" i="2"/>
  <c r="AU217" i="2" s="1"/>
  <c r="AU145" i="2"/>
  <c r="AU193" i="2" s="1"/>
  <c r="AY169" i="2"/>
  <c r="AY217" i="2" s="1"/>
  <c r="AY145" i="2"/>
  <c r="AY193" i="2" s="1"/>
  <c r="BC169" i="2"/>
  <c r="BC217" i="2" s="1"/>
  <c r="BC145" i="2"/>
  <c r="BC193" i="2" s="1"/>
  <c r="BG169" i="2"/>
  <c r="BG217" i="2" s="1"/>
  <c r="BG145" i="2"/>
  <c r="BG193" i="2" s="1"/>
  <c r="BK169" i="2"/>
  <c r="BK217" i="2" s="1"/>
  <c r="BK145" i="2"/>
  <c r="BK193" i="2" s="1"/>
  <c r="BO169" i="2"/>
  <c r="BO217" i="2" s="1"/>
  <c r="BO145" i="2"/>
  <c r="BO193" i="2" s="1"/>
  <c r="BS169" i="2"/>
  <c r="BS217" i="2" s="1"/>
  <c r="BS145" i="2"/>
  <c r="BS193" i="2" s="1"/>
  <c r="BW169" i="2"/>
  <c r="BW217" i="2" s="1"/>
  <c r="BW145" i="2"/>
  <c r="BW193" i="2" s="1"/>
  <c r="CA169" i="2"/>
  <c r="CA217" i="2" s="1"/>
  <c r="CA145" i="2"/>
  <c r="CA193" i="2" s="1"/>
  <c r="CE169" i="2"/>
  <c r="CE217" i="2" s="1"/>
  <c r="CE145" i="2"/>
  <c r="CE193" i="2" s="1"/>
  <c r="CI169" i="2"/>
  <c r="CI217" i="2" s="1"/>
  <c r="CI145" i="2"/>
  <c r="CI193" i="2" s="1"/>
  <c r="CM169" i="2"/>
  <c r="CM217" i="2" s="1"/>
  <c r="CM145" i="2"/>
  <c r="CM193" i="2" s="1"/>
  <c r="CQ169" i="2"/>
  <c r="CQ217" i="2" s="1"/>
  <c r="CQ145" i="2"/>
  <c r="CQ193" i="2" s="1"/>
  <c r="CU169" i="2"/>
  <c r="CU145" i="2"/>
  <c r="CU193" i="2" s="1"/>
  <c r="CY169" i="2"/>
  <c r="CY217" i="2" s="1"/>
  <c r="CY145" i="2"/>
  <c r="CY193" i="2" s="1"/>
  <c r="F170" i="2"/>
  <c r="F218" i="2" s="1"/>
  <c r="F146" i="2"/>
  <c r="F194" i="2" s="1"/>
  <c r="J170" i="2"/>
  <c r="J218" i="2" s="1"/>
  <c r="J146" i="2"/>
  <c r="J194" i="2" s="1"/>
  <c r="N170" i="2"/>
  <c r="N218" i="2" s="1"/>
  <c r="N146" i="2"/>
  <c r="N194" i="2" s="1"/>
  <c r="R170" i="2"/>
  <c r="R218" i="2" s="1"/>
  <c r="R146" i="2"/>
  <c r="R194" i="2" s="1"/>
  <c r="V170" i="2"/>
  <c r="V218" i="2" s="1"/>
  <c r="V146" i="2"/>
  <c r="V194" i="2" s="1"/>
  <c r="Z170" i="2"/>
  <c r="Z218" i="2" s="1"/>
  <c r="Z146" i="2"/>
  <c r="Z194" i="2" s="1"/>
  <c r="AD170" i="2"/>
  <c r="AD218" i="2" s="1"/>
  <c r="AD146" i="2"/>
  <c r="AD194" i="2" s="1"/>
  <c r="AH170" i="2"/>
  <c r="AH218" i="2" s="1"/>
  <c r="AH146" i="2"/>
  <c r="AH194" i="2" s="1"/>
  <c r="AL170" i="2"/>
  <c r="AL218" i="2" s="1"/>
  <c r="AL146" i="2"/>
  <c r="AL194" i="2" s="1"/>
  <c r="AP170" i="2"/>
  <c r="AP218" i="2" s="1"/>
  <c r="AP146" i="2"/>
  <c r="AP194" i="2" s="1"/>
  <c r="AT170" i="2"/>
  <c r="AT218" i="2" s="1"/>
  <c r="AT146" i="2"/>
  <c r="AT194" i="2" s="1"/>
  <c r="AX170" i="2"/>
  <c r="AX218" i="2" s="1"/>
  <c r="AX146" i="2"/>
  <c r="AX194" i="2" s="1"/>
  <c r="BB170" i="2"/>
  <c r="BB218" i="2" s="1"/>
  <c r="BB146" i="2"/>
  <c r="BB194" i="2" s="1"/>
  <c r="BF170" i="2"/>
  <c r="BF218" i="2" s="1"/>
  <c r="BF146" i="2"/>
  <c r="BF194" i="2" s="1"/>
  <c r="BJ170" i="2"/>
  <c r="BJ218" i="2" s="1"/>
  <c r="BJ146" i="2"/>
  <c r="BJ194" i="2" s="1"/>
  <c r="BN170" i="2"/>
  <c r="BN218" i="2" s="1"/>
  <c r="BN146" i="2"/>
  <c r="BN194" i="2" s="1"/>
  <c r="BR170" i="2"/>
  <c r="BR218" i="2" s="1"/>
  <c r="BR146" i="2"/>
  <c r="BR194" i="2" s="1"/>
  <c r="BV170" i="2"/>
  <c r="BV218" i="2" s="1"/>
  <c r="BV146" i="2"/>
  <c r="BV194" i="2" s="1"/>
  <c r="BZ170" i="2"/>
  <c r="BZ218" i="2" s="1"/>
  <c r="BZ146" i="2"/>
  <c r="BZ194" i="2" s="1"/>
  <c r="CD170" i="2"/>
  <c r="CD218" i="2" s="1"/>
  <c r="CD146" i="2"/>
  <c r="CD194" i="2" s="1"/>
  <c r="CH170" i="2"/>
  <c r="CH218" i="2" s="1"/>
  <c r="CH146" i="2"/>
  <c r="CH194" i="2" s="1"/>
  <c r="CL170" i="2"/>
  <c r="CL218" i="2" s="1"/>
  <c r="CL146" i="2"/>
  <c r="CL194" i="2" s="1"/>
  <c r="CP170" i="2"/>
  <c r="CP218" i="2" s="1"/>
  <c r="CP146" i="2"/>
  <c r="CP194" i="2" s="1"/>
  <c r="CT170" i="2"/>
  <c r="CT146" i="2"/>
  <c r="CT194" i="2" s="1"/>
  <c r="CX170" i="2"/>
  <c r="CX218" i="2" s="1"/>
  <c r="CX146" i="2"/>
  <c r="CX194" i="2" s="1"/>
  <c r="E147" i="2"/>
  <c r="E195" i="2" s="1"/>
  <c r="E171" i="2"/>
  <c r="E219" i="2" s="1"/>
  <c r="I171" i="2"/>
  <c r="I219" i="2" s="1"/>
  <c r="I147" i="2"/>
  <c r="I195" i="2" s="1"/>
  <c r="M171" i="2"/>
  <c r="M219" i="2" s="1"/>
  <c r="M147" i="2"/>
  <c r="M195" i="2" s="1"/>
  <c r="Q171" i="2"/>
  <c r="Q219" i="2" s="1"/>
  <c r="Q147" i="2"/>
  <c r="Q195" i="2" s="1"/>
  <c r="U171" i="2"/>
  <c r="U219" i="2" s="1"/>
  <c r="U147" i="2"/>
  <c r="U195" i="2" s="1"/>
  <c r="Y171" i="2"/>
  <c r="Y219" i="2" s="1"/>
  <c r="Y147" i="2"/>
  <c r="Y195" i="2" s="1"/>
  <c r="AC171" i="2"/>
  <c r="AC219" i="2" s="1"/>
  <c r="AC147" i="2"/>
  <c r="AC195" i="2" s="1"/>
  <c r="AG171" i="2"/>
  <c r="AG219" i="2" s="1"/>
  <c r="AG147" i="2"/>
  <c r="AG195" i="2" s="1"/>
  <c r="AK171" i="2"/>
  <c r="AK219" i="2" s="1"/>
  <c r="AK147" i="2"/>
  <c r="AK195" i="2" s="1"/>
  <c r="AO171" i="2"/>
  <c r="AO219" i="2" s="1"/>
  <c r="AO147" i="2"/>
  <c r="AO195" i="2" s="1"/>
  <c r="AS171" i="2"/>
  <c r="AS219" i="2" s="1"/>
  <c r="AS147" i="2"/>
  <c r="AS195" i="2" s="1"/>
  <c r="AW171" i="2"/>
  <c r="AW219" i="2" s="1"/>
  <c r="AW147" i="2"/>
  <c r="AW195" i="2" s="1"/>
  <c r="BA171" i="2"/>
  <c r="BA219" i="2" s="1"/>
  <c r="BA147" i="2"/>
  <c r="BA195" i="2" s="1"/>
  <c r="BE171" i="2"/>
  <c r="BE219" i="2" s="1"/>
  <c r="BE147" i="2"/>
  <c r="BE195" i="2" s="1"/>
  <c r="BI171" i="2"/>
  <c r="BI219" i="2" s="1"/>
  <c r="BI147" i="2"/>
  <c r="BI195" i="2" s="1"/>
  <c r="BM171" i="2"/>
  <c r="BM219" i="2" s="1"/>
  <c r="BM147" i="2"/>
  <c r="BM195" i="2" s="1"/>
  <c r="BQ171" i="2"/>
  <c r="BQ147" i="2"/>
  <c r="BU171" i="2"/>
  <c r="BU147" i="2"/>
  <c r="BY171" i="2"/>
  <c r="BY147" i="2"/>
  <c r="CC171" i="2"/>
  <c r="CC147" i="2"/>
  <c r="CG171" i="2"/>
  <c r="CG147" i="2"/>
  <c r="CK171" i="2"/>
  <c r="CK147" i="2"/>
  <c r="CO171" i="2"/>
  <c r="CO147" i="2"/>
  <c r="CS171" i="2"/>
  <c r="CS147" i="2"/>
  <c r="CW171" i="2"/>
  <c r="CW147" i="2"/>
  <c r="C204" i="2"/>
  <c r="E172" i="2"/>
  <c r="U172" i="2"/>
  <c r="AM172" i="2"/>
  <c r="BS172" i="2"/>
  <c r="D172" i="2"/>
  <c r="V172" i="2"/>
  <c r="AL172" i="2"/>
  <c r="BB172" i="2"/>
  <c r="BP195" i="2"/>
  <c r="BP219" i="2"/>
  <c r="BR195" i="2"/>
  <c r="BT195" i="2"/>
  <c r="BV195" i="2"/>
  <c r="BX195" i="2"/>
  <c r="BX219" i="2"/>
  <c r="BZ195" i="2"/>
  <c r="BZ219" i="2"/>
  <c r="CB195" i="2"/>
  <c r="CD219" i="2"/>
  <c r="CF195" i="2"/>
  <c r="CF219" i="2"/>
  <c r="CH195" i="2"/>
  <c r="CH219" i="2"/>
  <c r="CJ195" i="2"/>
  <c r="CL219" i="2"/>
  <c r="CN195" i="2"/>
  <c r="CN219" i="2"/>
  <c r="CP195" i="2"/>
  <c r="CR195" i="2"/>
  <c r="CT195" i="2"/>
  <c r="CV195" i="2"/>
  <c r="CV219" i="2"/>
  <c r="CX195" i="2"/>
  <c r="CX219" i="2"/>
  <c r="T99" i="2"/>
  <c r="X99" i="2"/>
  <c r="AB99" i="2"/>
  <c r="AF99" i="2"/>
  <c r="AJ99" i="2"/>
  <c r="AN99" i="2"/>
  <c r="AR99" i="2"/>
  <c r="AV99" i="2"/>
  <c r="AZ99" i="2"/>
  <c r="BD99" i="2"/>
  <c r="BH99" i="2"/>
  <c r="BL99" i="2"/>
  <c r="BP99" i="2"/>
  <c r="BT99" i="2"/>
  <c r="BX99" i="2"/>
  <c r="CB99" i="2"/>
  <c r="CF99" i="2"/>
  <c r="CJ99" i="2"/>
  <c r="CN99" i="2"/>
  <c r="CR99" i="2"/>
  <c r="CV99" i="2"/>
  <c r="K148" i="2"/>
  <c r="AA148" i="2"/>
  <c r="AS148" i="2"/>
  <c r="BI148" i="2"/>
  <c r="AL148" i="2"/>
  <c r="BL148" i="2"/>
  <c r="CL148" i="2"/>
  <c r="BO195" i="2"/>
  <c r="BQ195" i="2"/>
  <c r="BQ219" i="2"/>
  <c r="BS195" i="2"/>
  <c r="BS219" i="2"/>
  <c r="BU195" i="2"/>
  <c r="BU219" i="2"/>
  <c r="BW195" i="2"/>
  <c r="BY195" i="2"/>
  <c r="BY219" i="2"/>
  <c r="CA195" i="2"/>
  <c r="CA219" i="2"/>
  <c r="CC195" i="2"/>
  <c r="CC219" i="2"/>
  <c r="CE195" i="2"/>
  <c r="CG195" i="2"/>
  <c r="CG219" i="2"/>
  <c r="CI195" i="2"/>
  <c r="CI219" i="2"/>
  <c r="CK195" i="2"/>
  <c r="CK219" i="2"/>
  <c r="CM195" i="2"/>
  <c r="CO195" i="2"/>
  <c r="CO219" i="2"/>
  <c r="CQ195" i="2"/>
  <c r="CQ219" i="2"/>
  <c r="CS195" i="2"/>
  <c r="CS219" i="2"/>
  <c r="CU195" i="2"/>
  <c r="CW195" i="2"/>
  <c r="CW219" i="2"/>
  <c r="S99" i="2"/>
  <c r="U99" i="2"/>
  <c r="W99" i="2"/>
  <c r="Y99" i="2"/>
  <c r="AA99" i="2"/>
  <c r="AC99" i="2"/>
  <c r="AE99" i="2"/>
  <c r="AG99" i="2"/>
  <c r="AI99" i="2"/>
  <c r="AK99" i="2"/>
  <c r="AM99" i="2"/>
  <c r="AO99" i="2"/>
  <c r="AQ99" i="2"/>
  <c r="AS99" i="2"/>
  <c r="AU99" i="2"/>
  <c r="AW99" i="2"/>
  <c r="AY99" i="2"/>
  <c r="BA99" i="2"/>
  <c r="BC99" i="2"/>
  <c r="BG99" i="2"/>
  <c r="BI99" i="2"/>
  <c r="BK99" i="2"/>
  <c r="BM99" i="2"/>
  <c r="BO99" i="2"/>
  <c r="BQ99" i="2"/>
  <c r="BS99" i="2"/>
  <c r="BU99" i="2"/>
  <c r="BW99" i="2"/>
  <c r="BY99" i="2"/>
  <c r="CA99" i="2"/>
  <c r="CC99" i="2"/>
  <c r="CE99" i="2"/>
  <c r="CG99" i="2"/>
  <c r="CI99" i="2"/>
  <c r="CK99" i="2"/>
  <c r="CM99" i="2"/>
  <c r="CO99" i="2"/>
  <c r="CQ99" i="2"/>
  <c r="CS99" i="2"/>
  <c r="CU99" i="2"/>
  <c r="CW99" i="2"/>
  <c r="CY99" i="2"/>
  <c r="BE99" i="2"/>
  <c r="AB172" i="2"/>
  <c r="AR172" i="2"/>
  <c r="BH172" i="2"/>
  <c r="CJ172" i="2"/>
  <c r="CM148" i="2"/>
  <c r="S172" i="2"/>
  <c r="AI172" i="2"/>
  <c r="BO172" i="2"/>
  <c r="CU172" i="2"/>
  <c r="AY148" i="2"/>
  <c r="E99" i="2"/>
  <c r="G99" i="2"/>
  <c r="I99" i="2"/>
  <c r="K99" i="2"/>
  <c r="M99" i="2"/>
  <c r="O99" i="2"/>
  <c r="Q99" i="2"/>
  <c r="D99" i="2"/>
  <c r="F99" i="2"/>
  <c r="H99" i="2"/>
  <c r="J99" i="2"/>
  <c r="L99" i="2"/>
  <c r="N99" i="2"/>
  <c r="P99" i="2"/>
  <c r="R99" i="2"/>
  <c r="M148" i="2"/>
  <c r="BH148" i="2"/>
  <c r="CP148" i="2"/>
  <c r="U148" i="2"/>
  <c r="BE148" i="2"/>
  <c r="CH148" i="2"/>
  <c r="G148" i="2"/>
  <c r="BK148" i="2"/>
  <c r="CT148" i="2"/>
  <c r="BY122" i="2"/>
  <c r="BI122" i="2"/>
  <c r="AS122" i="2"/>
  <c r="AC122" i="2"/>
  <c r="S122" i="2"/>
  <c r="K122" i="2"/>
  <c r="C122" i="2"/>
  <c r="CI119" i="2"/>
  <c r="CA119" i="2"/>
  <c r="BS119" i="2"/>
  <c r="BK119" i="2"/>
  <c r="BC119" i="2"/>
  <c r="AU119" i="2"/>
  <c r="AM119" i="2"/>
  <c r="AE119" i="2"/>
  <c r="W119" i="2"/>
  <c r="O119" i="2"/>
  <c r="G119" i="2"/>
  <c r="CK117" i="2"/>
  <c r="CC117" i="2"/>
  <c r="BU117" i="2"/>
  <c r="BM117" i="2"/>
  <c r="BE117" i="2"/>
  <c r="AW117" i="2"/>
  <c r="AO117" i="2"/>
  <c r="AG117" i="2"/>
  <c r="Y117" i="2"/>
  <c r="Q117" i="2"/>
  <c r="I117" i="2"/>
  <c r="CM116" i="2"/>
  <c r="CE116" i="2"/>
  <c r="BW116" i="2"/>
  <c r="BO116" i="2"/>
  <c r="BG116" i="2"/>
  <c r="AY116" i="2"/>
  <c r="CM115" i="2"/>
  <c r="CI115" i="2"/>
  <c r="CE115" i="2"/>
  <c r="CA115" i="2"/>
  <c r="BW115" i="2"/>
  <c r="BS115" i="2"/>
  <c r="BO115" i="2"/>
  <c r="BK115" i="2"/>
  <c r="BG115" i="2"/>
  <c r="BC115" i="2"/>
  <c r="AY115" i="2"/>
  <c r="AU115" i="2"/>
  <c r="AQ115" i="2"/>
  <c r="AM115" i="2"/>
  <c r="AI115" i="2"/>
  <c r="AE115" i="2"/>
  <c r="AA115" i="2"/>
  <c r="W115" i="2"/>
  <c r="S115" i="2"/>
  <c r="O115" i="2"/>
  <c r="K115" i="2"/>
  <c r="G115" i="2"/>
  <c r="C115" i="2"/>
  <c r="CK113" i="2"/>
  <c r="CG113" i="2"/>
  <c r="CC113" i="2"/>
  <c r="BY113" i="2"/>
  <c r="BU113" i="2"/>
  <c r="BQ113" i="2"/>
  <c r="BM113" i="2"/>
  <c r="BI113" i="2"/>
  <c r="BE113" i="2"/>
  <c r="BA113" i="2"/>
  <c r="AW113" i="2"/>
  <c r="AS113" i="2"/>
  <c r="AO113" i="2"/>
  <c r="AK113" i="2"/>
  <c r="AG113" i="2"/>
  <c r="AC113" i="2"/>
  <c r="Y113" i="2"/>
  <c r="U113" i="2"/>
  <c r="Q113" i="2"/>
  <c r="M113" i="2"/>
  <c r="I113" i="2"/>
  <c r="E113" i="2"/>
  <c r="CM111" i="2"/>
  <c r="CI111" i="2"/>
  <c r="CE111" i="2"/>
  <c r="CA111" i="2"/>
  <c r="BW111" i="2"/>
  <c r="BS111" i="2"/>
  <c r="BO111" i="2"/>
  <c r="BK111" i="2"/>
  <c r="BG111" i="2"/>
  <c r="BC111" i="2"/>
  <c r="AY111" i="2"/>
  <c r="AU111" i="2"/>
  <c r="AQ111" i="2"/>
  <c r="AM111" i="2"/>
  <c r="AI111" i="2"/>
  <c r="AE111" i="2"/>
  <c r="AA111" i="2"/>
  <c r="W111" i="2"/>
  <c r="S111" i="2"/>
  <c r="O111" i="2"/>
  <c r="K111" i="2"/>
  <c r="G111" i="2"/>
  <c r="C111" i="2"/>
  <c r="CK109" i="2"/>
  <c r="CG109" i="2"/>
  <c r="CC109" i="2"/>
  <c r="BY109" i="2"/>
  <c r="BU109" i="2"/>
  <c r="BQ109" i="2"/>
  <c r="BM109" i="2"/>
  <c r="BI109" i="2"/>
  <c r="BE109" i="2"/>
  <c r="BA109" i="2"/>
  <c r="AW109" i="2"/>
  <c r="AS109" i="2"/>
  <c r="AO109" i="2"/>
  <c r="AK109" i="2"/>
  <c r="AG109" i="2"/>
  <c r="AC109" i="2"/>
  <c r="Y109" i="2"/>
  <c r="U109" i="2"/>
  <c r="Q109" i="2"/>
  <c r="M109" i="2"/>
  <c r="I109" i="2"/>
  <c r="E109" i="2"/>
  <c r="CM107" i="2"/>
  <c r="CI107" i="2"/>
  <c r="CE107" i="2"/>
  <c r="CA107" i="2"/>
  <c r="BW107" i="2"/>
  <c r="BS107" i="2"/>
  <c r="BO107" i="2"/>
  <c r="BK107" i="2"/>
  <c r="BG107" i="2"/>
  <c r="BC107" i="2"/>
  <c r="AY107" i="2"/>
  <c r="AU107" i="2"/>
  <c r="AQ107" i="2"/>
  <c r="AM107" i="2"/>
  <c r="AI107" i="2"/>
  <c r="AE107" i="2"/>
  <c r="AA107" i="2"/>
  <c r="W107" i="2"/>
  <c r="S107" i="2"/>
  <c r="O107" i="2"/>
  <c r="K107" i="2"/>
  <c r="G107" i="2"/>
  <c r="C107" i="2"/>
  <c r="CK105" i="2"/>
  <c r="CG105" i="2"/>
  <c r="CC105" i="2"/>
  <c r="BY105" i="2"/>
  <c r="BU105" i="2"/>
  <c r="BQ105" i="2"/>
  <c r="BM105" i="2"/>
  <c r="BI105" i="2"/>
  <c r="BE105" i="2"/>
  <c r="BA105" i="2"/>
  <c r="AW105" i="2"/>
  <c r="AS105" i="2"/>
  <c r="AO105" i="2"/>
  <c r="AK105" i="2"/>
  <c r="AG105" i="2"/>
  <c r="AC105" i="2"/>
  <c r="Y105" i="2"/>
  <c r="U105" i="2"/>
  <c r="Q105" i="2"/>
  <c r="M105" i="2"/>
  <c r="I105" i="2"/>
  <c r="E105" i="2"/>
  <c r="C105" i="2"/>
  <c r="CY123" i="2"/>
  <c r="CX123" i="2"/>
  <c r="CW123" i="2"/>
  <c r="CV123" i="2"/>
  <c r="CU123" i="2"/>
  <c r="CT123" i="2"/>
  <c r="CS123" i="2"/>
  <c r="CR123" i="2"/>
  <c r="CQ123" i="2"/>
  <c r="CP123" i="2"/>
  <c r="CO123" i="2"/>
  <c r="CN123" i="2"/>
  <c r="CM123" i="2"/>
  <c r="CL123" i="2"/>
  <c r="CK123" i="2"/>
  <c r="CJ123" i="2"/>
  <c r="CI123" i="2"/>
  <c r="CH123" i="2"/>
  <c r="CG123" i="2"/>
  <c r="CF123" i="2"/>
  <c r="CE123" i="2"/>
  <c r="CD123" i="2"/>
  <c r="CC123" i="2"/>
  <c r="CB123" i="2"/>
  <c r="CA123" i="2"/>
  <c r="BZ123" i="2"/>
  <c r="BY123" i="2"/>
  <c r="BX123" i="2"/>
  <c r="BW123" i="2"/>
  <c r="BV123" i="2"/>
  <c r="BU123" i="2"/>
  <c r="BT123" i="2"/>
  <c r="BS123" i="2"/>
  <c r="BR123" i="2"/>
  <c r="BQ123" i="2"/>
  <c r="BP123" i="2"/>
  <c r="BO123" i="2"/>
  <c r="BN123" i="2"/>
  <c r="BM123" i="2"/>
  <c r="BL123" i="2"/>
  <c r="BK123" i="2"/>
  <c r="BJ123" i="2"/>
  <c r="BI123" i="2"/>
  <c r="BH123" i="2"/>
  <c r="BG123" i="2"/>
  <c r="BF123" i="2"/>
  <c r="BE123" i="2"/>
  <c r="BD123" i="2"/>
  <c r="BC123" i="2"/>
  <c r="BB123" i="2"/>
  <c r="BA123" i="2"/>
  <c r="AZ123" i="2"/>
  <c r="AY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CY122" i="2"/>
  <c r="CX122" i="2"/>
  <c r="CW122" i="2"/>
  <c r="CV122" i="2"/>
  <c r="CU122" i="2"/>
  <c r="CT122" i="2"/>
  <c r="CS122" i="2"/>
  <c r="CR122" i="2"/>
  <c r="CQ122" i="2"/>
  <c r="CP122" i="2"/>
  <c r="CO122" i="2"/>
  <c r="CN122" i="2"/>
  <c r="CM122" i="2"/>
  <c r="CL122" i="2"/>
  <c r="CK122" i="2"/>
  <c r="CJ122" i="2"/>
  <c r="CI122" i="2"/>
  <c r="CH122" i="2"/>
  <c r="CG122" i="2"/>
  <c r="CF122" i="2"/>
  <c r="CE122" i="2"/>
  <c r="CD122" i="2"/>
  <c r="CC122" i="2"/>
  <c r="CB122" i="2"/>
  <c r="CA122" i="2"/>
  <c r="BZ122" i="2"/>
  <c r="BX122" i="2"/>
  <c r="BW122" i="2"/>
  <c r="BV122" i="2"/>
  <c r="BU122" i="2"/>
  <c r="BT122" i="2"/>
  <c r="BS122" i="2"/>
  <c r="BR122" i="2"/>
  <c r="BQ122" i="2"/>
  <c r="BP122" i="2"/>
  <c r="BO122" i="2"/>
  <c r="BN122" i="2"/>
  <c r="BM122" i="2"/>
  <c r="BL122" i="2"/>
  <c r="BK122" i="2"/>
  <c r="BJ122" i="2"/>
  <c r="BH122" i="2"/>
  <c r="BG122" i="2"/>
  <c r="BF122" i="2"/>
  <c r="BE122" i="2"/>
  <c r="BD122" i="2"/>
  <c r="BC122" i="2"/>
  <c r="BB122" i="2"/>
  <c r="BA122" i="2"/>
  <c r="AZ122" i="2"/>
  <c r="AY122" i="2"/>
  <c r="AX122" i="2"/>
  <c r="AW122" i="2"/>
  <c r="AV122" i="2"/>
  <c r="AU122" i="2"/>
  <c r="AT122" i="2"/>
  <c r="AR122" i="2"/>
  <c r="AQ122" i="2"/>
  <c r="AP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B122" i="2"/>
  <c r="AA122" i="2"/>
  <c r="Z122" i="2"/>
  <c r="Y122" i="2"/>
  <c r="X122" i="2"/>
  <c r="W122" i="2"/>
  <c r="V122" i="2"/>
  <c r="U122" i="2"/>
  <c r="T122" i="2"/>
  <c r="R122" i="2"/>
  <c r="Q122" i="2"/>
  <c r="P122" i="2"/>
  <c r="O122" i="2"/>
  <c r="N122" i="2"/>
  <c r="M122" i="2"/>
  <c r="L122" i="2"/>
  <c r="J122" i="2"/>
  <c r="I122" i="2"/>
  <c r="H122" i="2"/>
  <c r="G122" i="2"/>
  <c r="F122" i="2"/>
  <c r="E122" i="2"/>
  <c r="D122" i="2"/>
  <c r="CY121" i="2"/>
  <c r="CX121" i="2"/>
  <c r="CW121" i="2"/>
  <c r="CV121" i="2"/>
  <c r="CU121" i="2"/>
  <c r="CT121" i="2"/>
  <c r="CS121" i="2"/>
  <c r="CR121" i="2"/>
  <c r="CQ121" i="2"/>
  <c r="CP121" i="2"/>
  <c r="CO121" i="2"/>
  <c r="CN121" i="2"/>
  <c r="CM121" i="2"/>
  <c r="CL121" i="2"/>
  <c r="CK121" i="2"/>
  <c r="CJ121" i="2"/>
  <c r="CI121" i="2"/>
  <c r="CH121" i="2"/>
  <c r="CG121" i="2"/>
  <c r="CF121" i="2"/>
  <c r="CE121" i="2"/>
  <c r="CD121" i="2"/>
  <c r="CC121" i="2"/>
  <c r="CB121" i="2"/>
  <c r="CA121" i="2"/>
  <c r="BZ121" i="2"/>
  <c r="BY121" i="2"/>
  <c r="BX121" i="2"/>
  <c r="BW121" i="2"/>
  <c r="BV121" i="2"/>
  <c r="BU121" i="2"/>
  <c r="BT121" i="2"/>
  <c r="BS121" i="2"/>
  <c r="BR121" i="2"/>
  <c r="BQ121" i="2"/>
  <c r="BP121" i="2"/>
  <c r="BO121" i="2"/>
  <c r="BN121" i="2"/>
  <c r="BM121" i="2"/>
  <c r="BL121" i="2"/>
  <c r="BK121" i="2"/>
  <c r="BJ121" i="2"/>
  <c r="BI121" i="2"/>
  <c r="BH121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CY120" i="2"/>
  <c r="CX120" i="2"/>
  <c r="CW120" i="2"/>
  <c r="CV120" i="2"/>
  <c r="CU120" i="2"/>
  <c r="CT120" i="2"/>
  <c r="CS120" i="2"/>
  <c r="CR120" i="2"/>
  <c r="CQ120" i="2"/>
  <c r="CP120" i="2"/>
  <c r="CO120" i="2"/>
  <c r="CN120" i="2"/>
  <c r="CM120" i="2"/>
  <c r="CL120" i="2"/>
  <c r="CK120" i="2"/>
  <c r="CJ120" i="2"/>
  <c r="CI120" i="2"/>
  <c r="CH120" i="2"/>
  <c r="CG120" i="2"/>
  <c r="CF120" i="2"/>
  <c r="CE120" i="2"/>
  <c r="CD120" i="2"/>
  <c r="CC120" i="2"/>
  <c r="CB120" i="2"/>
  <c r="CA120" i="2"/>
  <c r="BZ120" i="2"/>
  <c r="BY120" i="2"/>
  <c r="BX120" i="2"/>
  <c r="BW120" i="2"/>
  <c r="BV120" i="2"/>
  <c r="BU120" i="2"/>
  <c r="BT120" i="2"/>
  <c r="BS120" i="2"/>
  <c r="BR120" i="2"/>
  <c r="BQ120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B120" i="2"/>
  <c r="BA120" i="2"/>
  <c r="AZ120" i="2"/>
  <c r="AY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CY119" i="2"/>
  <c r="CX119" i="2"/>
  <c r="CW119" i="2"/>
  <c r="CV119" i="2"/>
  <c r="CU119" i="2"/>
  <c r="CT119" i="2"/>
  <c r="CS119" i="2"/>
  <c r="CR119" i="2"/>
  <c r="CQ119" i="2"/>
  <c r="CP119" i="2"/>
  <c r="CO119" i="2"/>
  <c r="CN119" i="2"/>
  <c r="CM119" i="2"/>
  <c r="CL119" i="2"/>
  <c r="CK119" i="2"/>
  <c r="CJ119" i="2"/>
  <c r="CH119" i="2"/>
  <c r="CG119" i="2"/>
  <c r="CF119" i="2"/>
  <c r="CE119" i="2"/>
  <c r="CD119" i="2"/>
  <c r="CC119" i="2"/>
  <c r="CB119" i="2"/>
  <c r="BZ119" i="2"/>
  <c r="BY119" i="2"/>
  <c r="BX119" i="2"/>
  <c r="BW119" i="2"/>
  <c r="BV119" i="2"/>
  <c r="BU119" i="2"/>
  <c r="BT119" i="2"/>
  <c r="BR119" i="2"/>
  <c r="BQ119" i="2"/>
  <c r="BP119" i="2"/>
  <c r="BO119" i="2"/>
  <c r="BN119" i="2"/>
  <c r="BM119" i="2"/>
  <c r="BL119" i="2"/>
  <c r="BJ119" i="2"/>
  <c r="BI119" i="2"/>
  <c r="BH119" i="2"/>
  <c r="BG119" i="2"/>
  <c r="BF119" i="2"/>
  <c r="BE119" i="2"/>
  <c r="BD119" i="2"/>
  <c r="BB119" i="2"/>
  <c r="BA119" i="2"/>
  <c r="AZ119" i="2"/>
  <c r="AY119" i="2"/>
  <c r="AX119" i="2"/>
  <c r="AW119" i="2"/>
  <c r="AV119" i="2"/>
  <c r="AT119" i="2"/>
  <c r="AS119" i="2"/>
  <c r="AR119" i="2"/>
  <c r="AQ119" i="2"/>
  <c r="AP119" i="2"/>
  <c r="AO119" i="2"/>
  <c r="AN119" i="2"/>
  <c r="AL119" i="2"/>
  <c r="AK119" i="2"/>
  <c r="AJ119" i="2"/>
  <c r="AI119" i="2"/>
  <c r="AH119" i="2"/>
  <c r="AG119" i="2"/>
  <c r="AF119" i="2"/>
  <c r="AD119" i="2"/>
  <c r="AC119" i="2"/>
  <c r="AB119" i="2"/>
  <c r="AA119" i="2"/>
  <c r="Z119" i="2"/>
  <c r="Y119" i="2"/>
  <c r="X119" i="2"/>
  <c r="V119" i="2"/>
  <c r="U119" i="2"/>
  <c r="T119" i="2"/>
  <c r="S119" i="2"/>
  <c r="R119" i="2"/>
  <c r="Q119" i="2"/>
  <c r="P119" i="2"/>
  <c r="N119" i="2"/>
  <c r="M119" i="2"/>
  <c r="L119" i="2"/>
  <c r="K119" i="2"/>
  <c r="J119" i="2"/>
  <c r="I119" i="2"/>
  <c r="H119" i="2"/>
  <c r="F119" i="2"/>
  <c r="E119" i="2"/>
  <c r="D119" i="2"/>
  <c r="C119" i="2"/>
  <c r="CY118" i="2"/>
  <c r="CX118" i="2"/>
  <c r="CW118" i="2"/>
  <c r="CV118" i="2"/>
  <c r="CU118" i="2"/>
  <c r="CT118" i="2"/>
  <c r="CS118" i="2"/>
  <c r="CR118" i="2"/>
  <c r="CQ118" i="2"/>
  <c r="CP118" i="2"/>
  <c r="CO118" i="2"/>
  <c r="CN118" i="2"/>
  <c r="CM118" i="2"/>
  <c r="CL118" i="2"/>
  <c r="CK118" i="2"/>
  <c r="CJ118" i="2"/>
  <c r="CI118" i="2"/>
  <c r="CH118" i="2"/>
  <c r="CG118" i="2"/>
  <c r="CF118" i="2"/>
  <c r="CE118" i="2"/>
  <c r="CD118" i="2"/>
  <c r="CC118" i="2"/>
  <c r="CB118" i="2"/>
  <c r="CA118" i="2"/>
  <c r="BZ118" i="2"/>
  <c r="BY118" i="2"/>
  <c r="BX118" i="2"/>
  <c r="BW118" i="2"/>
  <c r="BV118" i="2"/>
  <c r="BU118" i="2"/>
  <c r="BT118" i="2"/>
  <c r="BS118" i="2"/>
  <c r="BR118" i="2"/>
  <c r="BQ118" i="2"/>
  <c r="BP118" i="2"/>
  <c r="BO118" i="2"/>
  <c r="BN118" i="2"/>
  <c r="BM118" i="2"/>
  <c r="BL118" i="2"/>
  <c r="BK118" i="2"/>
  <c r="BJ118" i="2"/>
  <c r="BI118" i="2"/>
  <c r="BH118" i="2"/>
  <c r="BG118" i="2"/>
  <c r="BF118" i="2"/>
  <c r="BE118" i="2"/>
  <c r="BD118" i="2"/>
  <c r="BC118" i="2"/>
  <c r="BB118" i="2"/>
  <c r="BA118" i="2"/>
  <c r="AZ118" i="2"/>
  <c r="AY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CY117" i="2"/>
  <c r="CX117" i="2"/>
  <c r="CW117" i="2"/>
  <c r="CV117" i="2"/>
  <c r="CU117" i="2"/>
  <c r="CT117" i="2"/>
  <c r="CS117" i="2"/>
  <c r="CR117" i="2"/>
  <c r="CQ117" i="2"/>
  <c r="CP117" i="2"/>
  <c r="CO117" i="2"/>
  <c r="CN117" i="2"/>
  <c r="CM117" i="2"/>
  <c r="CL117" i="2"/>
  <c r="CJ117" i="2"/>
  <c r="CI117" i="2"/>
  <c r="CH117" i="2"/>
  <c r="CG117" i="2"/>
  <c r="CF117" i="2"/>
  <c r="CE117" i="2"/>
  <c r="CD117" i="2"/>
  <c r="CB117" i="2"/>
  <c r="CA117" i="2"/>
  <c r="BZ117" i="2"/>
  <c r="BY117" i="2"/>
  <c r="BX117" i="2"/>
  <c r="BW117" i="2"/>
  <c r="BV117" i="2"/>
  <c r="BT117" i="2"/>
  <c r="BS117" i="2"/>
  <c r="BR117" i="2"/>
  <c r="BQ117" i="2"/>
  <c r="BP117" i="2"/>
  <c r="BO117" i="2"/>
  <c r="BN117" i="2"/>
  <c r="BL117" i="2"/>
  <c r="BK117" i="2"/>
  <c r="BJ117" i="2"/>
  <c r="BI117" i="2"/>
  <c r="BH117" i="2"/>
  <c r="BG117" i="2"/>
  <c r="BF117" i="2"/>
  <c r="BD117" i="2"/>
  <c r="BC117" i="2"/>
  <c r="BB117" i="2"/>
  <c r="BA117" i="2"/>
  <c r="AZ117" i="2"/>
  <c r="AY117" i="2"/>
  <c r="AX117" i="2"/>
  <c r="AV117" i="2"/>
  <c r="AU117" i="2"/>
  <c r="AT117" i="2"/>
  <c r="AS117" i="2"/>
  <c r="AR117" i="2"/>
  <c r="AQ117" i="2"/>
  <c r="AP117" i="2"/>
  <c r="AN117" i="2"/>
  <c r="AM117" i="2"/>
  <c r="AL117" i="2"/>
  <c r="AK117" i="2"/>
  <c r="AJ117" i="2"/>
  <c r="AI117" i="2"/>
  <c r="AH117" i="2"/>
  <c r="AF117" i="2"/>
  <c r="AE117" i="2"/>
  <c r="AD117" i="2"/>
  <c r="AC117" i="2"/>
  <c r="AB117" i="2"/>
  <c r="AA117" i="2"/>
  <c r="Z117" i="2"/>
  <c r="X117" i="2"/>
  <c r="W117" i="2"/>
  <c r="V117" i="2"/>
  <c r="U117" i="2"/>
  <c r="T117" i="2"/>
  <c r="S117" i="2"/>
  <c r="R117" i="2"/>
  <c r="P117" i="2"/>
  <c r="O117" i="2"/>
  <c r="N117" i="2"/>
  <c r="M117" i="2"/>
  <c r="L117" i="2"/>
  <c r="K117" i="2"/>
  <c r="J117" i="2"/>
  <c r="H117" i="2"/>
  <c r="G117" i="2"/>
  <c r="F117" i="2"/>
  <c r="E117" i="2"/>
  <c r="D117" i="2"/>
  <c r="C117" i="2"/>
  <c r="CY116" i="2"/>
  <c r="CX116" i="2"/>
  <c r="CW116" i="2"/>
  <c r="CV116" i="2"/>
  <c r="CU116" i="2"/>
  <c r="CT116" i="2"/>
  <c r="CS116" i="2"/>
  <c r="CR116" i="2"/>
  <c r="CQ116" i="2"/>
  <c r="CP116" i="2"/>
  <c r="CO116" i="2"/>
  <c r="CN116" i="2"/>
  <c r="CL116" i="2"/>
  <c r="CK116" i="2"/>
  <c r="CJ116" i="2"/>
  <c r="CI116" i="2"/>
  <c r="CH116" i="2"/>
  <c r="CG116" i="2"/>
  <c r="CF116" i="2"/>
  <c r="CD116" i="2"/>
  <c r="CC116" i="2"/>
  <c r="CB116" i="2"/>
  <c r="CA116" i="2"/>
  <c r="BZ116" i="2"/>
  <c r="BY116" i="2"/>
  <c r="BX116" i="2"/>
  <c r="BV116" i="2"/>
  <c r="BU116" i="2"/>
  <c r="BT116" i="2"/>
  <c r="BS116" i="2"/>
  <c r="BR116" i="2"/>
  <c r="BQ116" i="2"/>
  <c r="BP116" i="2"/>
  <c r="BN116" i="2"/>
  <c r="BM116" i="2"/>
  <c r="BL116" i="2"/>
  <c r="BK116" i="2"/>
  <c r="BJ116" i="2"/>
  <c r="BI116" i="2"/>
  <c r="BH116" i="2"/>
  <c r="BF116" i="2"/>
  <c r="BE116" i="2"/>
  <c r="BD116" i="2"/>
  <c r="BC116" i="2"/>
  <c r="BB116" i="2"/>
  <c r="BA116" i="2"/>
  <c r="AZ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CY115" i="2"/>
  <c r="CX115" i="2"/>
  <c r="CW115" i="2"/>
  <c r="CV115" i="2"/>
  <c r="CU115" i="2"/>
  <c r="CT115" i="2"/>
  <c r="CS115" i="2"/>
  <c r="CR115" i="2"/>
  <c r="CQ115" i="2"/>
  <c r="CP115" i="2"/>
  <c r="CO115" i="2"/>
  <c r="CN115" i="2"/>
  <c r="CL115" i="2"/>
  <c r="CK115" i="2"/>
  <c r="CJ115" i="2"/>
  <c r="CH115" i="2"/>
  <c r="CG115" i="2"/>
  <c r="CF115" i="2"/>
  <c r="CD115" i="2"/>
  <c r="CC115" i="2"/>
  <c r="CB115" i="2"/>
  <c r="BZ115" i="2"/>
  <c r="BY115" i="2"/>
  <c r="BX115" i="2"/>
  <c r="BV115" i="2"/>
  <c r="BU115" i="2"/>
  <c r="BT115" i="2"/>
  <c r="BR115" i="2"/>
  <c r="BQ115" i="2"/>
  <c r="BP115" i="2"/>
  <c r="BN115" i="2"/>
  <c r="BM115" i="2"/>
  <c r="BL115" i="2"/>
  <c r="BJ115" i="2"/>
  <c r="BI115" i="2"/>
  <c r="BH115" i="2"/>
  <c r="BF115" i="2"/>
  <c r="BE115" i="2"/>
  <c r="BD115" i="2"/>
  <c r="BB115" i="2"/>
  <c r="BA115" i="2"/>
  <c r="AZ115" i="2"/>
  <c r="AX115" i="2"/>
  <c r="AW115" i="2"/>
  <c r="AV115" i="2"/>
  <c r="AT115" i="2"/>
  <c r="AS115" i="2"/>
  <c r="AR115" i="2"/>
  <c r="AP115" i="2"/>
  <c r="AO115" i="2"/>
  <c r="AN115" i="2"/>
  <c r="AL115" i="2"/>
  <c r="AK115" i="2"/>
  <c r="AJ115" i="2"/>
  <c r="AH115" i="2"/>
  <c r="AG115" i="2"/>
  <c r="AF115" i="2"/>
  <c r="AD115" i="2"/>
  <c r="AC115" i="2"/>
  <c r="AB115" i="2"/>
  <c r="Z115" i="2"/>
  <c r="Y115" i="2"/>
  <c r="X115" i="2"/>
  <c r="V115" i="2"/>
  <c r="U115" i="2"/>
  <c r="T115" i="2"/>
  <c r="R115" i="2"/>
  <c r="Q115" i="2"/>
  <c r="P115" i="2"/>
  <c r="N115" i="2"/>
  <c r="M115" i="2"/>
  <c r="L115" i="2"/>
  <c r="J115" i="2"/>
  <c r="I115" i="2"/>
  <c r="H115" i="2"/>
  <c r="F115" i="2"/>
  <c r="E115" i="2"/>
  <c r="D115" i="2"/>
  <c r="CY114" i="2"/>
  <c r="CX114" i="2"/>
  <c r="CW114" i="2"/>
  <c r="CV114" i="2"/>
  <c r="CU114" i="2"/>
  <c r="CT114" i="2"/>
  <c r="CS114" i="2"/>
  <c r="CR114" i="2"/>
  <c r="CQ114" i="2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V114" i="2"/>
  <c r="BU114" i="2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CY113" i="2"/>
  <c r="CX113" i="2"/>
  <c r="CW113" i="2"/>
  <c r="CV113" i="2"/>
  <c r="CU113" i="2"/>
  <c r="CT113" i="2"/>
  <c r="CS113" i="2"/>
  <c r="CR113" i="2"/>
  <c r="CQ113" i="2"/>
  <c r="CP113" i="2"/>
  <c r="CO113" i="2"/>
  <c r="CN113" i="2"/>
  <c r="CM113" i="2"/>
  <c r="CL113" i="2"/>
  <c r="CJ113" i="2"/>
  <c r="CI113" i="2"/>
  <c r="CH113" i="2"/>
  <c r="CF113" i="2"/>
  <c r="CE113" i="2"/>
  <c r="CD113" i="2"/>
  <c r="CB113" i="2"/>
  <c r="CA113" i="2"/>
  <c r="BZ113" i="2"/>
  <c r="BX113" i="2"/>
  <c r="BW113" i="2"/>
  <c r="BV113" i="2"/>
  <c r="BT113" i="2"/>
  <c r="BS113" i="2"/>
  <c r="BR113" i="2"/>
  <c r="BP113" i="2"/>
  <c r="BO113" i="2"/>
  <c r="BN113" i="2"/>
  <c r="BL113" i="2"/>
  <c r="BK113" i="2"/>
  <c r="BJ113" i="2"/>
  <c r="BH113" i="2"/>
  <c r="BG113" i="2"/>
  <c r="BF113" i="2"/>
  <c r="BD113" i="2"/>
  <c r="BC113" i="2"/>
  <c r="BB113" i="2"/>
  <c r="AZ113" i="2"/>
  <c r="AY113" i="2"/>
  <c r="AX113" i="2"/>
  <c r="AV113" i="2"/>
  <c r="AU113" i="2"/>
  <c r="AT113" i="2"/>
  <c r="AR113" i="2"/>
  <c r="AQ113" i="2"/>
  <c r="AP113" i="2"/>
  <c r="AN113" i="2"/>
  <c r="AM113" i="2"/>
  <c r="AL113" i="2"/>
  <c r="AJ113" i="2"/>
  <c r="AI113" i="2"/>
  <c r="AH113" i="2"/>
  <c r="AF113" i="2"/>
  <c r="AE113" i="2"/>
  <c r="AD113" i="2"/>
  <c r="AB113" i="2"/>
  <c r="AA113" i="2"/>
  <c r="Z113" i="2"/>
  <c r="X113" i="2"/>
  <c r="W113" i="2"/>
  <c r="V113" i="2"/>
  <c r="T113" i="2"/>
  <c r="S113" i="2"/>
  <c r="R113" i="2"/>
  <c r="P113" i="2"/>
  <c r="O113" i="2"/>
  <c r="N113" i="2"/>
  <c r="L113" i="2"/>
  <c r="K113" i="2"/>
  <c r="J113" i="2"/>
  <c r="H113" i="2"/>
  <c r="G113" i="2"/>
  <c r="F113" i="2"/>
  <c r="D113" i="2"/>
  <c r="C113" i="2"/>
  <c r="CY112" i="2"/>
  <c r="CX112" i="2"/>
  <c r="CW112" i="2"/>
  <c r="CV112" i="2"/>
  <c r="CU112" i="2"/>
  <c r="CT112" i="2"/>
  <c r="CS112" i="2"/>
  <c r="CR112" i="2"/>
  <c r="CQ112" i="2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V112" i="2"/>
  <c r="BU112" i="2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CY111" i="2"/>
  <c r="CX111" i="2"/>
  <c r="CW111" i="2"/>
  <c r="CV111" i="2"/>
  <c r="CU111" i="2"/>
  <c r="CT111" i="2"/>
  <c r="CS111" i="2"/>
  <c r="CR111" i="2"/>
  <c r="CQ111" i="2"/>
  <c r="CP111" i="2"/>
  <c r="CO111" i="2"/>
  <c r="CN111" i="2"/>
  <c r="CL111" i="2"/>
  <c r="CK111" i="2"/>
  <c r="CJ111" i="2"/>
  <c r="CH111" i="2"/>
  <c r="CG111" i="2"/>
  <c r="CF111" i="2"/>
  <c r="CD111" i="2"/>
  <c r="CC111" i="2"/>
  <c r="CB111" i="2"/>
  <c r="BZ111" i="2"/>
  <c r="BY111" i="2"/>
  <c r="BX111" i="2"/>
  <c r="BV111" i="2"/>
  <c r="BU111" i="2"/>
  <c r="BT111" i="2"/>
  <c r="BR111" i="2"/>
  <c r="BQ111" i="2"/>
  <c r="BP111" i="2"/>
  <c r="BN111" i="2"/>
  <c r="BM111" i="2"/>
  <c r="BL111" i="2"/>
  <c r="BJ111" i="2"/>
  <c r="BI111" i="2"/>
  <c r="BH111" i="2"/>
  <c r="BF111" i="2"/>
  <c r="BE111" i="2"/>
  <c r="BD111" i="2"/>
  <c r="BB111" i="2"/>
  <c r="BA111" i="2"/>
  <c r="AZ111" i="2"/>
  <c r="AX111" i="2"/>
  <c r="AW111" i="2"/>
  <c r="AV111" i="2"/>
  <c r="AT111" i="2"/>
  <c r="AS111" i="2"/>
  <c r="AR111" i="2"/>
  <c r="AP111" i="2"/>
  <c r="AO111" i="2"/>
  <c r="AN111" i="2"/>
  <c r="AL111" i="2"/>
  <c r="AK111" i="2"/>
  <c r="AJ111" i="2"/>
  <c r="AH111" i="2"/>
  <c r="AG111" i="2"/>
  <c r="AF111" i="2"/>
  <c r="AD111" i="2"/>
  <c r="AC111" i="2"/>
  <c r="AB111" i="2"/>
  <c r="Z111" i="2"/>
  <c r="Y111" i="2"/>
  <c r="X111" i="2"/>
  <c r="V111" i="2"/>
  <c r="U111" i="2"/>
  <c r="T111" i="2"/>
  <c r="R111" i="2"/>
  <c r="Q111" i="2"/>
  <c r="P111" i="2"/>
  <c r="N111" i="2"/>
  <c r="M111" i="2"/>
  <c r="L111" i="2"/>
  <c r="J111" i="2"/>
  <c r="I111" i="2"/>
  <c r="H111" i="2"/>
  <c r="F111" i="2"/>
  <c r="E111" i="2"/>
  <c r="D111" i="2"/>
  <c r="CY110" i="2"/>
  <c r="CX110" i="2"/>
  <c r="CW110" i="2"/>
  <c r="CV110" i="2"/>
  <c r="CU110" i="2"/>
  <c r="CT110" i="2"/>
  <c r="CS110" i="2"/>
  <c r="CR110" i="2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V110" i="2"/>
  <c r="BU110" i="2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CY109" i="2"/>
  <c r="CX109" i="2"/>
  <c r="CW109" i="2"/>
  <c r="CV109" i="2"/>
  <c r="CU109" i="2"/>
  <c r="CT109" i="2"/>
  <c r="CS109" i="2"/>
  <c r="CR109" i="2"/>
  <c r="CQ109" i="2"/>
  <c r="CP109" i="2"/>
  <c r="CO109" i="2"/>
  <c r="CN109" i="2"/>
  <c r="CM109" i="2"/>
  <c r="CL109" i="2"/>
  <c r="CJ109" i="2"/>
  <c r="CI109" i="2"/>
  <c r="CH109" i="2"/>
  <c r="CF109" i="2"/>
  <c r="CE109" i="2"/>
  <c r="CD109" i="2"/>
  <c r="CB109" i="2"/>
  <c r="CA109" i="2"/>
  <c r="BZ109" i="2"/>
  <c r="BX109" i="2"/>
  <c r="BW109" i="2"/>
  <c r="BV109" i="2"/>
  <c r="BT109" i="2"/>
  <c r="BS109" i="2"/>
  <c r="BR109" i="2"/>
  <c r="BP109" i="2"/>
  <c r="BO109" i="2"/>
  <c r="BN109" i="2"/>
  <c r="BL109" i="2"/>
  <c r="BK109" i="2"/>
  <c r="BJ109" i="2"/>
  <c r="BH109" i="2"/>
  <c r="BG109" i="2"/>
  <c r="BF109" i="2"/>
  <c r="BD109" i="2"/>
  <c r="BC109" i="2"/>
  <c r="BB109" i="2"/>
  <c r="AZ109" i="2"/>
  <c r="AY109" i="2"/>
  <c r="AX109" i="2"/>
  <c r="AV109" i="2"/>
  <c r="AU109" i="2"/>
  <c r="AT109" i="2"/>
  <c r="AR109" i="2"/>
  <c r="AQ109" i="2"/>
  <c r="AP109" i="2"/>
  <c r="AN109" i="2"/>
  <c r="AM109" i="2"/>
  <c r="AL109" i="2"/>
  <c r="AJ109" i="2"/>
  <c r="AI109" i="2"/>
  <c r="AH109" i="2"/>
  <c r="AF109" i="2"/>
  <c r="AE109" i="2"/>
  <c r="AD109" i="2"/>
  <c r="AB109" i="2"/>
  <c r="AA109" i="2"/>
  <c r="Z109" i="2"/>
  <c r="X109" i="2"/>
  <c r="W109" i="2"/>
  <c r="V109" i="2"/>
  <c r="T109" i="2"/>
  <c r="S109" i="2"/>
  <c r="R109" i="2"/>
  <c r="P109" i="2"/>
  <c r="O109" i="2"/>
  <c r="N109" i="2"/>
  <c r="L109" i="2"/>
  <c r="K109" i="2"/>
  <c r="J109" i="2"/>
  <c r="H109" i="2"/>
  <c r="G109" i="2"/>
  <c r="F109" i="2"/>
  <c r="D109" i="2"/>
  <c r="C109" i="2"/>
  <c r="CY108" i="2"/>
  <c r="CX108" i="2"/>
  <c r="CW108" i="2"/>
  <c r="CV108" i="2"/>
  <c r="CU108" i="2"/>
  <c r="CT108" i="2"/>
  <c r="CS108" i="2"/>
  <c r="CR108" i="2"/>
  <c r="CQ108" i="2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CY107" i="2"/>
  <c r="CX107" i="2"/>
  <c r="CW107" i="2"/>
  <c r="CV107" i="2"/>
  <c r="CU107" i="2"/>
  <c r="CT107" i="2"/>
  <c r="CS107" i="2"/>
  <c r="CR107" i="2"/>
  <c r="CQ107" i="2"/>
  <c r="CP107" i="2"/>
  <c r="CO107" i="2"/>
  <c r="CN107" i="2"/>
  <c r="CL107" i="2"/>
  <c r="CK107" i="2"/>
  <c r="CJ107" i="2"/>
  <c r="CH107" i="2"/>
  <c r="CG107" i="2"/>
  <c r="CF107" i="2"/>
  <c r="CD107" i="2"/>
  <c r="CC107" i="2"/>
  <c r="CB107" i="2"/>
  <c r="BZ107" i="2"/>
  <c r="BY107" i="2"/>
  <c r="BX107" i="2"/>
  <c r="BV107" i="2"/>
  <c r="BU107" i="2"/>
  <c r="BT107" i="2"/>
  <c r="BR107" i="2"/>
  <c r="BQ107" i="2"/>
  <c r="BP107" i="2"/>
  <c r="BN107" i="2"/>
  <c r="BM107" i="2"/>
  <c r="BL107" i="2"/>
  <c r="BJ107" i="2"/>
  <c r="BI107" i="2"/>
  <c r="BH107" i="2"/>
  <c r="BF107" i="2"/>
  <c r="BE107" i="2"/>
  <c r="BD107" i="2"/>
  <c r="BB107" i="2"/>
  <c r="BA107" i="2"/>
  <c r="AZ107" i="2"/>
  <c r="AX107" i="2"/>
  <c r="AW107" i="2"/>
  <c r="AV107" i="2"/>
  <c r="AT107" i="2"/>
  <c r="AS107" i="2"/>
  <c r="AR107" i="2"/>
  <c r="AP107" i="2"/>
  <c r="AO107" i="2"/>
  <c r="AN107" i="2"/>
  <c r="AL107" i="2"/>
  <c r="AK107" i="2"/>
  <c r="AJ107" i="2"/>
  <c r="AH107" i="2"/>
  <c r="AG107" i="2"/>
  <c r="AF107" i="2"/>
  <c r="AD107" i="2"/>
  <c r="AC107" i="2"/>
  <c r="AB107" i="2"/>
  <c r="Z107" i="2"/>
  <c r="Y107" i="2"/>
  <c r="X107" i="2"/>
  <c r="V107" i="2"/>
  <c r="U107" i="2"/>
  <c r="T107" i="2"/>
  <c r="R107" i="2"/>
  <c r="Q107" i="2"/>
  <c r="P107" i="2"/>
  <c r="N107" i="2"/>
  <c r="M107" i="2"/>
  <c r="L107" i="2"/>
  <c r="J107" i="2"/>
  <c r="I107" i="2"/>
  <c r="H107" i="2"/>
  <c r="F107" i="2"/>
  <c r="E107" i="2"/>
  <c r="D107" i="2"/>
  <c r="CY106" i="2"/>
  <c r="CX106" i="2"/>
  <c r="CW106" i="2"/>
  <c r="CV106" i="2"/>
  <c r="CU106" i="2"/>
  <c r="CT106" i="2"/>
  <c r="CS106" i="2"/>
  <c r="CR106" i="2"/>
  <c r="CQ106" i="2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CY105" i="2"/>
  <c r="CX105" i="2"/>
  <c r="CW105" i="2"/>
  <c r="CV105" i="2"/>
  <c r="CU105" i="2"/>
  <c r="CT105" i="2"/>
  <c r="CS105" i="2"/>
  <c r="CR105" i="2"/>
  <c r="CQ105" i="2"/>
  <c r="CP105" i="2"/>
  <c r="CO105" i="2"/>
  <c r="CN105" i="2"/>
  <c r="CM105" i="2"/>
  <c r="CL105" i="2"/>
  <c r="CJ105" i="2"/>
  <c r="CI105" i="2"/>
  <c r="CH105" i="2"/>
  <c r="CF105" i="2"/>
  <c r="CE105" i="2"/>
  <c r="CD105" i="2"/>
  <c r="CB105" i="2"/>
  <c r="CA105" i="2"/>
  <c r="BZ105" i="2"/>
  <c r="BX105" i="2"/>
  <c r="BW105" i="2"/>
  <c r="BV105" i="2"/>
  <c r="BT105" i="2"/>
  <c r="BS105" i="2"/>
  <c r="BR105" i="2"/>
  <c r="BP105" i="2"/>
  <c r="BO105" i="2"/>
  <c r="BN105" i="2"/>
  <c r="BL105" i="2"/>
  <c r="BK105" i="2"/>
  <c r="BJ105" i="2"/>
  <c r="BH105" i="2"/>
  <c r="BG105" i="2"/>
  <c r="BF105" i="2"/>
  <c r="BD105" i="2"/>
  <c r="BC105" i="2"/>
  <c r="BB105" i="2"/>
  <c r="AZ105" i="2"/>
  <c r="AY105" i="2"/>
  <c r="AX105" i="2"/>
  <c r="AV105" i="2"/>
  <c r="AU105" i="2"/>
  <c r="AT105" i="2"/>
  <c r="AR105" i="2"/>
  <c r="AQ105" i="2"/>
  <c r="AP105" i="2"/>
  <c r="AN105" i="2"/>
  <c r="AM105" i="2"/>
  <c r="AL105" i="2"/>
  <c r="AJ105" i="2"/>
  <c r="AI105" i="2"/>
  <c r="AH105" i="2"/>
  <c r="AF105" i="2"/>
  <c r="AE105" i="2"/>
  <c r="AD105" i="2"/>
  <c r="AB105" i="2"/>
  <c r="AA105" i="2"/>
  <c r="Z105" i="2"/>
  <c r="X105" i="2"/>
  <c r="W105" i="2"/>
  <c r="V105" i="2"/>
  <c r="T105" i="2"/>
  <c r="S105" i="2"/>
  <c r="R105" i="2"/>
  <c r="P105" i="2"/>
  <c r="O105" i="2"/>
  <c r="N105" i="2"/>
  <c r="L105" i="2"/>
  <c r="K105" i="2"/>
  <c r="J105" i="2"/>
  <c r="H105" i="2"/>
  <c r="G105" i="2"/>
  <c r="F105" i="2"/>
  <c r="D105" i="2"/>
  <c r="CX104" i="2"/>
  <c r="CP104" i="2"/>
  <c r="CM104" i="2"/>
  <c r="BW104" i="2"/>
  <c r="BG104" i="2"/>
  <c r="AQ104" i="2"/>
  <c r="AA104" i="2"/>
  <c r="K104" i="2"/>
  <c r="CV149" i="2" l="1"/>
  <c r="CV176" i="2"/>
  <c r="CV197" i="2" s="1"/>
  <c r="CB173" i="2"/>
  <c r="CB200" i="2"/>
  <c r="AF149" i="2"/>
  <c r="AF176" i="2"/>
  <c r="T149" i="2"/>
  <c r="T176" i="2"/>
  <c r="BC173" i="2"/>
  <c r="BC200" i="2"/>
  <c r="AE149" i="2"/>
  <c r="AE176" i="2"/>
  <c r="Z149" i="2"/>
  <c r="Z176" i="2"/>
  <c r="BQ149" i="2"/>
  <c r="BQ176" i="2"/>
  <c r="BQ197" i="2" s="1"/>
  <c r="CI173" i="2"/>
  <c r="CI200" i="2"/>
  <c r="BE149" i="2"/>
  <c r="BE176" i="2"/>
  <c r="E173" i="2"/>
  <c r="E200" i="2"/>
  <c r="CK149" i="2"/>
  <c r="CK176" i="2"/>
  <c r="CK197" i="2" s="1"/>
  <c r="BY173" i="2"/>
  <c r="BY200" i="2"/>
  <c r="AG149" i="2"/>
  <c r="AG176" i="2"/>
  <c r="U173" i="2"/>
  <c r="U200" i="2"/>
  <c r="P173" i="2"/>
  <c r="P200" i="2"/>
  <c r="D149" i="2"/>
  <c r="D176" i="2"/>
  <c r="CU149" i="2"/>
  <c r="CU176" i="2"/>
  <c r="CU197" i="2" s="1"/>
  <c r="BJ173" i="2"/>
  <c r="BJ200" i="2"/>
  <c r="I149" i="2"/>
  <c r="I176" i="2"/>
  <c r="CQ149" i="2"/>
  <c r="CQ176" i="2"/>
  <c r="CQ197" i="2" s="1"/>
  <c r="BN173" i="2"/>
  <c r="BN200" i="2"/>
  <c r="V173" i="2"/>
  <c r="V200" i="2"/>
  <c r="CO149" i="2"/>
  <c r="CO176" i="2"/>
  <c r="CO197" i="2" s="1"/>
  <c r="CC173" i="2"/>
  <c r="CC200" i="2"/>
  <c r="AS173" i="2"/>
  <c r="AS200" i="2"/>
  <c r="CX149" i="2"/>
  <c r="CX176" i="2"/>
  <c r="CX197" i="2" s="1"/>
  <c r="CT173" i="2"/>
  <c r="CT200" i="2"/>
  <c r="AT173" i="2"/>
  <c r="AT200" i="2"/>
  <c r="CS148" i="2"/>
  <c r="CJ148" i="2"/>
  <c r="O172" i="2"/>
  <c r="AN172" i="2"/>
  <c r="CO196" i="2"/>
  <c r="Y148" i="2"/>
  <c r="AX172" i="2"/>
  <c r="AH172" i="2"/>
  <c r="R172" i="2"/>
  <c r="BK172" i="2"/>
  <c r="CJ149" i="2"/>
  <c r="CJ176" i="2"/>
  <c r="CJ197" i="2" s="1"/>
  <c r="CF173" i="2"/>
  <c r="CF200" i="2"/>
  <c r="BT149" i="2"/>
  <c r="BT176" i="2"/>
  <c r="BT197" i="2" s="1"/>
  <c r="BP173" i="2"/>
  <c r="BP200" i="2"/>
  <c r="BD149" i="2"/>
  <c r="BD176" i="2"/>
  <c r="AZ173" i="2"/>
  <c r="AZ200" i="2"/>
  <c r="AN149" i="2"/>
  <c r="AN176" i="2"/>
  <c r="AJ173" i="2"/>
  <c r="AJ200" i="2"/>
  <c r="X149" i="2"/>
  <c r="X176" i="2"/>
  <c r="T173" i="2"/>
  <c r="T200" i="2"/>
  <c r="H149" i="2"/>
  <c r="H176" i="2"/>
  <c r="D173" i="2"/>
  <c r="D200" i="2"/>
  <c r="CU173" i="2"/>
  <c r="BW149" i="2"/>
  <c r="BW176" i="2"/>
  <c r="BW197" i="2" s="1"/>
  <c r="BK173" i="2"/>
  <c r="BK200" i="2"/>
  <c r="AM149" i="2"/>
  <c r="AM176" i="2"/>
  <c r="AE173" i="2"/>
  <c r="AE200" i="2"/>
  <c r="G149" i="2"/>
  <c r="G176" i="2"/>
  <c r="CD149" i="2"/>
  <c r="CD176" i="2"/>
  <c r="CD197" i="2" s="1"/>
  <c r="AL149" i="2"/>
  <c r="AL176" i="2"/>
  <c r="Z173" i="2"/>
  <c r="Z200" i="2"/>
  <c r="CG149" i="2"/>
  <c r="CG176" i="2"/>
  <c r="CG197" i="2" s="1"/>
  <c r="BQ173" i="2"/>
  <c r="BQ200" i="2"/>
  <c r="Y149" i="2"/>
  <c r="Y176" i="2"/>
  <c r="I173" i="2"/>
  <c r="I200" i="2"/>
  <c r="CY149" i="2"/>
  <c r="CY176" i="2"/>
  <c r="CQ173" i="2"/>
  <c r="CQ200" i="2"/>
  <c r="BS149" i="2"/>
  <c r="BS176" i="2"/>
  <c r="BS197" i="2" s="1"/>
  <c r="BO173" i="2"/>
  <c r="BO200" i="2"/>
  <c r="AQ149" i="2"/>
  <c r="AQ176" i="2"/>
  <c r="AI173" i="2"/>
  <c r="AI200" i="2"/>
  <c r="K149" i="2"/>
  <c r="K176" i="2"/>
  <c r="CL149" i="2"/>
  <c r="CL176" i="2"/>
  <c r="CL197" i="2" s="1"/>
  <c r="BZ173" i="2"/>
  <c r="BZ200" i="2"/>
  <c r="AP149" i="2"/>
  <c r="AP176" i="2"/>
  <c r="AH173" i="2"/>
  <c r="AH200" i="2"/>
  <c r="CO173" i="2"/>
  <c r="CO200" i="2"/>
  <c r="BM149" i="2"/>
  <c r="BM176" i="2"/>
  <c r="BE173" i="2"/>
  <c r="BE200" i="2"/>
  <c r="AC149" i="2"/>
  <c r="AC176" i="2"/>
  <c r="Q173" i="2"/>
  <c r="Q200" i="2"/>
  <c r="CX173" i="2"/>
  <c r="CX200" i="2"/>
  <c r="BR173" i="2"/>
  <c r="BR200" i="2"/>
  <c r="BF173" i="2"/>
  <c r="BF200" i="2"/>
  <c r="R149" i="2"/>
  <c r="R176" i="2"/>
  <c r="F173" i="2"/>
  <c r="F200" i="2"/>
  <c r="CS149" i="2"/>
  <c r="CS176" i="2"/>
  <c r="CS197" i="2" s="1"/>
  <c r="CK173" i="2"/>
  <c r="CK200" i="2"/>
  <c r="AW149" i="2"/>
  <c r="AW176" i="2"/>
  <c r="AG173" i="2"/>
  <c r="AG200" i="2"/>
  <c r="CR173" i="2"/>
  <c r="CR200" i="2"/>
  <c r="CF149" i="2"/>
  <c r="CF176" i="2"/>
  <c r="CF197" i="2" s="1"/>
  <c r="BP149" i="2"/>
  <c r="BP176" i="2"/>
  <c r="BP197" i="2" s="1"/>
  <c r="AZ149" i="2"/>
  <c r="AZ176" i="2"/>
  <c r="AV173" i="2"/>
  <c r="AV200" i="2"/>
  <c r="AV221" i="2" s="1"/>
  <c r="AV222" i="2" s="1"/>
  <c r="AJ149" i="2"/>
  <c r="AJ176" i="2"/>
  <c r="CM173" i="2"/>
  <c r="CM200" i="2"/>
  <c r="BK149" i="2"/>
  <c r="BK176" i="2"/>
  <c r="BO149" i="2"/>
  <c r="BO176" i="2"/>
  <c r="BO197" i="2" s="1"/>
  <c r="BG173" i="2"/>
  <c r="BG200" i="2"/>
  <c r="Q149" i="2"/>
  <c r="Q176" i="2"/>
  <c r="AU148" i="2"/>
  <c r="AW148" i="2"/>
  <c r="E148" i="2"/>
  <c r="AE172" i="2"/>
  <c r="CB172" i="2"/>
  <c r="X172" i="2"/>
  <c r="CK196" i="2"/>
  <c r="BQ196" i="2"/>
  <c r="AQ148" i="2"/>
  <c r="BN172" i="2"/>
  <c r="AG172" i="2"/>
  <c r="CV173" i="2"/>
  <c r="CV200" i="2"/>
  <c r="CY148" i="2"/>
  <c r="AE148" i="2"/>
  <c r="AD148" i="2"/>
  <c r="CC148" i="2"/>
  <c r="AO148" i="2"/>
  <c r="X148" i="2"/>
  <c r="CB148" i="2"/>
  <c r="AB148" i="2"/>
  <c r="BT148" i="2"/>
  <c r="CE172" i="2"/>
  <c r="AY172" i="2"/>
  <c r="K172" i="2"/>
  <c r="F172" i="2"/>
  <c r="BT172" i="2"/>
  <c r="AZ172" i="2"/>
  <c r="AJ172" i="2"/>
  <c r="T172" i="2"/>
  <c r="CD148" i="2"/>
  <c r="BB148" i="2"/>
  <c r="AF148" i="2"/>
  <c r="BC148" i="2"/>
  <c r="AM148" i="2"/>
  <c r="W148" i="2"/>
  <c r="CX196" i="2"/>
  <c r="CP196" i="2"/>
  <c r="BJ172" i="2"/>
  <c r="AT172" i="2"/>
  <c r="AD172" i="2"/>
  <c r="N172" i="2"/>
  <c r="CI172" i="2"/>
  <c r="BC172" i="2"/>
  <c r="AC172" i="2"/>
  <c r="M172" i="2"/>
  <c r="CN173" i="2"/>
  <c r="CN200" i="2"/>
  <c r="CJ173" i="2"/>
  <c r="CJ200" i="2"/>
  <c r="BX149" i="2"/>
  <c r="BX176" i="2"/>
  <c r="BX197" i="2" s="1"/>
  <c r="BT173" i="2"/>
  <c r="BT200" i="2"/>
  <c r="BH149" i="2"/>
  <c r="BH176" i="2"/>
  <c r="BD173" i="2"/>
  <c r="BD200" i="2"/>
  <c r="AR149" i="2"/>
  <c r="AR176" i="2"/>
  <c r="AN173" i="2"/>
  <c r="AN200" i="2"/>
  <c r="AB149" i="2"/>
  <c r="AB176" i="2"/>
  <c r="X173" i="2"/>
  <c r="X200" i="2"/>
  <c r="L149" i="2"/>
  <c r="L176" i="2"/>
  <c r="H173" i="2"/>
  <c r="H200" i="2"/>
  <c r="CE149" i="2"/>
  <c r="CE176" i="2"/>
  <c r="CE197" i="2" s="1"/>
  <c r="BW173" i="2"/>
  <c r="BW200" i="2"/>
  <c r="AU149" i="2"/>
  <c r="AU176" i="2"/>
  <c r="AM173" i="2"/>
  <c r="AM200" i="2"/>
  <c r="O149" i="2"/>
  <c r="O176" i="2"/>
  <c r="G173" i="2"/>
  <c r="G200" i="2"/>
  <c r="CP149" i="2"/>
  <c r="CP176" i="2"/>
  <c r="CP197" i="2" s="1"/>
  <c r="CD173" i="2"/>
  <c r="CD200" i="2"/>
  <c r="AX149" i="2"/>
  <c r="AX176" i="2"/>
  <c r="AL173" i="2"/>
  <c r="AL200" i="2"/>
  <c r="CW149" i="2"/>
  <c r="CW176" i="2"/>
  <c r="CW197" i="2" s="1"/>
  <c r="CG173" i="2"/>
  <c r="CG200" i="2"/>
  <c r="AO149" i="2"/>
  <c r="AO176" i="2"/>
  <c r="Y173" i="2"/>
  <c r="Y200" i="2"/>
  <c r="CY173" i="2"/>
  <c r="CY200" i="2"/>
  <c r="CA149" i="2"/>
  <c r="CA176" i="2"/>
  <c r="CA197" i="2" s="1"/>
  <c r="BS173" i="2"/>
  <c r="BS200" i="2"/>
  <c r="AY149" i="2"/>
  <c r="AY176" i="2"/>
  <c r="AY197" i="2" s="1"/>
  <c r="AQ173" i="2"/>
  <c r="AQ200" i="2"/>
  <c r="S149" i="2"/>
  <c r="S176" i="2"/>
  <c r="S197" i="2" s="1"/>
  <c r="K173" i="2"/>
  <c r="K200" i="2"/>
  <c r="CL173" i="2"/>
  <c r="CL200" i="2"/>
  <c r="BB149" i="2"/>
  <c r="BB176" i="2"/>
  <c r="AP173" i="2"/>
  <c r="AP200" i="2"/>
  <c r="N149" i="2"/>
  <c r="N176" i="2"/>
  <c r="BU149" i="2"/>
  <c r="BU176" i="2"/>
  <c r="BU197" i="2" s="1"/>
  <c r="BM173" i="2"/>
  <c r="BM200" i="2"/>
  <c r="AK149" i="2"/>
  <c r="AK176" i="2"/>
  <c r="AC173" i="2"/>
  <c r="AC200" i="2"/>
  <c r="CH149" i="2"/>
  <c r="CH176" i="2"/>
  <c r="CH197" i="2" s="1"/>
  <c r="BR149" i="2"/>
  <c r="BR176" i="2"/>
  <c r="BR197" i="2" s="1"/>
  <c r="AD149" i="2"/>
  <c r="AD176" i="2"/>
  <c r="R173" i="2"/>
  <c r="R200" i="2"/>
  <c r="CS173" i="2"/>
  <c r="BI149" i="2"/>
  <c r="BI176" i="2"/>
  <c r="AW173" i="2"/>
  <c r="AW200" i="2"/>
  <c r="M149" i="2"/>
  <c r="M176" i="2"/>
  <c r="CV196" i="2"/>
  <c r="CB196" i="2"/>
  <c r="BL173" i="2"/>
  <c r="BL200" i="2"/>
  <c r="W173" i="2"/>
  <c r="W200" i="2"/>
  <c r="BV149" i="2"/>
  <c r="BV176" i="2"/>
  <c r="BV197" i="2" s="1"/>
  <c r="J173" i="2"/>
  <c r="J200" i="2"/>
  <c r="BA173" i="2"/>
  <c r="BA200" i="2"/>
  <c r="AI149" i="2"/>
  <c r="AI176" i="2"/>
  <c r="AI197" i="2" s="1"/>
  <c r="AA173" i="2"/>
  <c r="AA200" i="2"/>
  <c r="BZ149" i="2"/>
  <c r="BZ176" i="2"/>
  <c r="BZ197" i="2" s="1"/>
  <c r="AH149" i="2"/>
  <c r="AH176" i="2"/>
  <c r="BF149" i="2"/>
  <c r="BF176" i="2"/>
  <c r="F149" i="2"/>
  <c r="F176" i="2"/>
  <c r="BN148" i="2"/>
  <c r="AT148" i="2"/>
  <c r="AC148" i="2"/>
  <c r="BG172" i="2"/>
  <c r="H172" i="2"/>
  <c r="BD172" i="2"/>
  <c r="J172" i="2"/>
  <c r="CS196" i="2"/>
  <c r="CF148" i="2"/>
  <c r="BG148" i="2"/>
  <c r="BD148" i="2"/>
  <c r="Q172" i="2"/>
  <c r="BV173" i="2"/>
  <c r="BV200" i="2"/>
  <c r="BJ148" i="2"/>
  <c r="CA148" i="2"/>
  <c r="O148" i="2"/>
  <c r="N148" i="2"/>
  <c r="BM148" i="2"/>
  <c r="AG148" i="2"/>
  <c r="R148" i="2"/>
  <c r="BP148" i="2"/>
  <c r="CN148" i="2"/>
  <c r="CY172" i="2"/>
  <c r="AQ172" i="2"/>
  <c r="W172" i="2"/>
  <c r="G172" i="2"/>
  <c r="CR172" i="2"/>
  <c r="BL172" i="2"/>
  <c r="AV172" i="2"/>
  <c r="AF172" i="2"/>
  <c r="P172" i="2"/>
  <c r="CU196" i="2"/>
  <c r="CQ196" i="2"/>
  <c r="CI196" i="2"/>
  <c r="CE196" i="2"/>
  <c r="CA196" i="2"/>
  <c r="BW196" i="2"/>
  <c r="BS196" i="2"/>
  <c r="BO196" i="2"/>
  <c r="BR148" i="2"/>
  <c r="AX148" i="2"/>
  <c r="V148" i="2"/>
  <c r="BA148" i="2"/>
  <c r="AK148" i="2"/>
  <c r="Q148" i="2"/>
  <c r="D148" i="2"/>
  <c r="BF172" i="2"/>
  <c r="AP172" i="2"/>
  <c r="Z172" i="2"/>
  <c r="L172" i="2"/>
  <c r="CA172" i="2"/>
  <c r="AU172" i="2"/>
  <c r="Y172" i="2"/>
  <c r="I172" i="2"/>
  <c r="CR149" i="2"/>
  <c r="CR176" i="2"/>
  <c r="CR197" i="2" s="1"/>
  <c r="CN149" i="2"/>
  <c r="CN176" i="2"/>
  <c r="CN197" i="2" s="1"/>
  <c r="CB149" i="2"/>
  <c r="CB176" i="2"/>
  <c r="CB197" i="2" s="1"/>
  <c r="BX173" i="2"/>
  <c r="BX200" i="2"/>
  <c r="BL149" i="2"/>
  <c r="BL176" i="2"/>
  <c r="BH173" i="2"/>
  <c r="BH200" i="2"/>
  <c r="AV149" i="2"/>
  <c r="AV176" i="2"/>
  <c r="AR173" i="2"/>
  <c r="AR200" i="2"/>
  <c r="AF173" i="2"/>
  <c r="AF200" i="2"/>
  <c r="AB173" i="2"/>
  <c r="AB200" i="2"/>
  <c r="P149" i="2"/>
  <c r="P176" i="2"/>
  <c r="L173" i="2"/>
  <c r="L200" i="2"/>
  <c r="CM149" i="2"/>
  <c r="CM176" i="2"/>
  <c r="CM197" i="2" s="1"/>
  <c r="CE173" i="2"/>
  <c r="CE200" i="2"/>
  <c r="BC149" i="2"/>
  <c r="BC176" i="2"/>
  <c r="AU173" i="2"/>
  <c r="AU200" i="2"/>
  <c r="W149" i="2"/>
  <c r="W176" i="2"/>
  <c r="O173" i="2"/>
  <c r="O200" i="2"/>
  <c r="CP173" i="2"/>
  <c r="BJ149" i="2"/>
  <c r="BJ176" i="2"/>
  <c r="AX173" i="2"/>
  <c r="AX200" i="2"/>
  <c r="J149" i="2"/>
  <c r="J176" i="2"/>
  <c r="CW173" i="2"/>
  <c r="CW200" i="2"/>
  <c r="BA149" i="2"/>
  <c r="BA176" i="2"/>
  <c r="AO173" i="2"/>
  <c r="AO200" i="2"/>
  <c r="CI149" i="2"/>
  <c r="CI176" i="2"/>
  <c r="CI197" i="2" s="1"/>
  <c r="CA173" i="2"/>
  <c r="CA200" i="2"/>
  <c r="BG149" i="2"/>
  <c r="BG176" i="2"/>
  <c r="AY173" i="2"/>
  <c r="AY200" i="2"/>
  <c r="AA149" i="2"/>
  <c r="AA176" i="2"/>
  <c r="S173" i="2"/>
  <c r="S200" i="2"/>
  <c r="BN149" i="2"/>
  <c r="BN176" i="2"/>
  <c r="BB173" i="2"/>
  <c r="BB200" i="2"/>
  <c r="V149" i="2"/>
  <c r="V176" i="2"/>
  <c r="N173" i="2"/>
  <c r="N200" i="2"/>
  <c r="CC149" i="2"/>
  <c r="CC176" i="2"/>
  <c r="CC197" i="2" s="1"/>
  <c r="BU173" i="2"/>
  <c r="BU200" i="2"/>
  <c r="AS149" i="2"/>
  <c r="AS176" i="2"/>
  <c r="AK173" i="2"/>
  <c r="AK200" i="2"/>
  <c r="E149" i="2"/>
  <c r="E176" i="2"/>
  <c r="CT149" i="2"/>
  <c r="CT176" i="2"/>
  <c r="CT197" i="2" s="1"/>
  <c r="CH173" i="2"/>
  <c r="AT149" i="2"/>
  <c r="AT176" i="2"/>
  <c r="AD173" i="2"/>
  <c r="AD200" i="2"/>
  <c r="BY149" i="2"/>
  <c r="BY176" i="2"/>
  <c r="BY197" i="2" s="1"/>
  <c r="BI173" i="2"/>
  <c r="BI200" i="2"/>
  <c r="U149" i="2"/>
  <c r="U176" i="2"/>
  <c r="M173" i="2"/>
  <c r="M200" i="2"/>
  <c r="C205" i="2"/>
  <c r="C207" i="2"/>
  <c r="CW148" i="2"/>
  <c r="CO148" i="2"/>
  <c r="CI148" i="2"/>
  <c r="CG148" i="2"/>
  <c r="CE148" i="2"/>
  <c r="BY148" i="2"/>
  <c r="BS148" i="2"/>
  <c r="BQ148" i="2"/>
  <c r="CT220" i="2"/>
  <c r="CT221" i="2"/>
  <c r="CR220" i="2"/>
  <c r="CR221" i="2"/>
  <c r="CP220" i="2"/>
  <c r="CP221" i="2"/>
  <c r="CN220" i="2"/>
  <c r="CN221" i="2"/>
  <c r="CN222" i="2" s="1"/>
  <c r="CL220" i="2"/>
  <c r="CL221" i="2"/>
  <c r="CJ220" i="2"/>
  <c r="CJ221" i="2"/>
  <c r="CJ222" i="2" s="1"/>
  <c r="CH220" i="2"/>
  <c r="CH221" i="2"/>
  <c r="CF220" i="2"/>
  <c r="CF221" i="2"/>
  <c r="CF222" i="2" s="1"/>
  <c r="CD220" i="2"/>
  <c r="CD221" i="2"/>
  <c r="CB220" i="2"/>
  <c r="CB221" i="2"/>
  <c r="CB222" i="2" s="1"/>
  <c r="BZ220" i="2"/>
  <c r="BZ221" i="2"/>
  <c r="BX220" i="2"/>
  <c r="BX221" i="2"/>
  <c r="BX222" i="2" s="1"/>
  <c r="BV220" i="2"/>
  <c r="BV221" i="2"/>
  <c r="BT220" i="2"/>
  <c r="BT221" i="2"/>
  <c r="BT222" i="2" s="1"/>
  <c r="BR220" i="2"/>
  <c r="BR221" i="2"/>
  <c r="BR222" i="2" s="1"/>
  <c r="BP220" i="2"/>
  <c r="BP221" i="2"/>
  <c r="BP222" i="2" s="1"/>
  <c r="CX172" i="2"/>
  <c r="CT172" i="2"/>
  <c r="CP172" i="2"/>
  <c r="CL172" i="2"/>
  <c r="CH172" i="2"/>
  <c r="CD172" i="2"/>
  <c r="BZ172" i="2"/>
  <c r="BV172" i="2"/>
  <c r="BR172" i="2"/>
  <c r="CQ148" i="2"/>
  <c r="CK148" i="2"/>
  <c r="BU148" i="2"/>
  <c r="CU148" i="2"/>
  <c r="CV172" i="2"/>
  <c r="CN172" i="2"/>
  <c r="CF172" i="2"/>
  <c r="BX172" i="2"/>
  <c r="BP172" i="2"/>
  <c r="CS221" i="2"/>
  <c r="CS220" i="2"/>
  <c r="CS222" i="2" s="1"/>
  <c r="CQ221" i="2"/>
  <c r="CQ220" i="2"/>
  <c r="CQ222" i="2" s="1"/>
  <c r="CO221" i="2"/>
  <c r="CO220" i="2"/>
  <c r="CM221" i="2"/>
  <c r="CM220" i="2"/>
  <c r="CK221" i="2"/>
  <c r="CK220" i="2"/>
  <c r="CI221" i="2"/>
  <c r="CI220" i="2"/>
  <c r="CG221" i="2"/>
  <c r="CG220" i="2"/>
  <c r="CE221" i="2"/>
  <c r="CE220" i="2"/>
  <c r="CC221" i="2"/>
  <c r="CC220" i="2"/>
  <c r="CA221" i="2"/>
  <c r="CA220" i="2"/>
  <c r="BY221" i="2"/>
  <c r="BY220" i="2"/>
  <c r="BW221" i="2"/>
  <c r="BW220" i="2"/>
  <c r="BU221" i="2"/>
  <c r="BU220" i="2"/>
  <c r="BS221" i="2"/>
  <c r="BS220" i="2"/>
  <c r="BQ221" i="2"/>
  <c r="BQ220" i="2"/>
  <c r="BO221" i="2"/>
  <c r="BO220" i="2"/>
  <c r="P148" i="2"/>
  <c r="L148" i="2"/>
  <c r="J148" i="2"/>
  <c r="H148" i="2"/>
  <c r="CW172" i="2"/>
  <c r="CS172" i="2"/>
  <c r="CO172" i="2"/>
  <c r="CK172" i="2"/>
  <c r="CG172" i="2"/>
  <c r="CC172" i="2"/>
  <c r="BY172" i="2"/>
  <c r="BU172" i="2"/>
  <c r="BQ172" i="2"/>
  <c r="BM172" i="2"/>
  <c r="BI172" i="2"/>
  <c r="BE172" i="2"/>
  <c r="BA172" i="2"/>
  <c r="AW172" i="2"/>
  <c r="AS172" i="2"/>
  <c r="AO172" i="2"/>
  <c r="AK172" i="2"/>
  <c r="CX148" i="2"/>
  <c r="CV148" i="2"/>
  <c r="CR148" i="2"/>
  <c r="BZ148" i="2"/>
  <c r="BX148" i="2"/>
  <c r="BV148" i="2"/>
  <c r="AZ148" i="2"/>
  <c r="AV148" i="2"/>
  <c r="AR148" i="2"/>
  <c r="AP148" i="2"/>
  <c r="AN148" i="2"/>
  <c r="Z148" i="2"/>
  <c r="T148" i="2"/>
  <c r="BW148" i="2"/>
  <c r="BO148" i="2"/>
  <c r="AI148" i="2"/>
  <c r="S148" i="2"/>
  <c r="I148" i="2"/>
  <c r="K125" i="2"/>
  <c r="K124" i="2"/>
  <c r="AA125" i="2"/>
  <c r="AA124" i="2"/>
  <c r="AQ125" i="2"/>
  <c r="AQ124" i="2"/>
  <c r="BG125" i="2"/>
  <c r="BG124" i="2"/>
  <c r="BW125" i="2"/>
  <c r="BW124" i="2"/>
  <c r="CM125" i="2"/>
  <c r="CM124" i="2"/>
  <c r="D104" i="2"/>
  <c r="F104" i="2"/>
  <c r="H104" i="2"/>
  <c r="J104" i="2"/>
  <c r="L104" i="2"/>
  <c r="N104" i="2"/>
  <c r="P104" i="2"/>
  <c r="R104" i="2"/>
  <c r="T104" i="2"/>
  <c r="V104" i="2"/>
  <c r="X104" i="2"/>
  <c r="Z104" i="2"/>
  <c r="AB104" i="2"/>
  <c r="AD104" i="2"/>
  <c r="AF104" i="2"/>
  <c r="AH104" i="2"/>
  <c r="AJ104" i="2"/>
  <c r="AL104" i="2"/>
  <c r="AN104" i="2"/>
  <c r="AP104" i="2"/>
  <c r="AR104" i="2"/>
  <c r="AT104" i="2"/>
  <c r="AV104" i="2"/>
  <c r="AX104" i="2"/>
  <c r="AZ104" i="2"/>
  <c r="BB104" i="2"/>
  <c r="BD104" i="2"/>
  <c r="BF104" i="2"/>
  <c r="BH104" i="2"/>
  <c r="BJ104" i="2"/>
  <c r="BL104" i="2"/>
  <c r="BN104" i="2"/>
  <c r="BP104" i="2"/>
  <c r="BR104" i="2"/>
  <c r="BT104" i="2"/>
  <c r="BV104" i="2"/>
  <c r="BX104" i="2"/>
  <c r="BZ104" i="2"/>
  <c r="CB104" i="2"/>
  <c r="CD104" i="2"/>
  <c r="CF104" i="2"/>
  <c r="CH104" i="2"/>
  <c r="CJ104" i="2"/>
  <c r="CL104" i="2"/>
  <c r="C104" i="2"/>
  <c r="E104" i="2"/>
  <c r="G104" i="2"/>
  <c r="I104" i="2"/>
  <c r="M104" i="2"/>
  <c r="O104" i="2"/>
  <c r="Q104" i="2"/>
  <c r="S104" i="2"/>
  <c r="U104" i="2"/>
  <c r="W104" i="2"/>
  <c r="Y104" i="2"/>
  <c r="AC104" i="2"/>
  <c r="AE104" i="2"/>
  <c r="AG104" i="2"/>
  <c r="AI104" i="2"/>
  <c r="AK104" i="2"/>
  <c r="AM104" i="2"/>
  <c r="AO104" i="2"/>
  <c r="AS104" i="2"/>
  <c r="AU104" i="2"/>
  <c r="AW104" i="2"/>
  <c r="AY104" i="2"/>
  <c r="BA104" i="2"/>
  <c r="BC104" i="2"/>
  <c r="BE104" i="2"/>
  <c r="BI104" i="2"/>
  <c r="BK104" i="2"/>
  <c r="BM104" i="2"/>
  <c r="BO104" i="2"/>
  <c r="BQ104" i="2"/>
  <c r="BS104" i="2"/>
  <c r="BU104" i="2"/>
  <c r="BY104" i="2"/>
  <c r="CA104" i="2"/>
  <c r="CC104" i="2"/>
  <c r="CE104" i="2"/>
  <c r="CG104" i="2"/>
  <c r="CI104" i="2"/>
  <c r="CK104" i="2"/>
  <c r="CP125" i="2"/>
  <c r="CP124" i="2"/>
  <c r="CX125" i="2"/>
  <c r="CX124" i="2"/>
  <c r="CO104" i="2"/>
  <c r="CQ104" i="2"/>
  <c r="CS104" i="2"/>
  <c r="CU104" i="2"/>
  <c r="CW104" i="2"/>
  <c r="CY104" i="2"/>
  <c r="CN104" i="2"/>
  <c r="CR104" i="2"/>
  <c r="CT104" i="2"/>
  <c r="CV104" i="2"/>
  <c r="BV222" i="2" l="1"/>
  <c r="BZ222" i="2"/>
  <c r="CD222" i="2"/>
  <c r="CH222" i="2"/>
  <c r="CL222" i="2"/>
  <c r="M221" i="2"/>
  <c r="M220" i="2"/>
  <c r="BI221" i="2"/>
  <c r="BI220" i="2"/>
  <c r="BI222" i="2" s="1"/>
  <c r="AD220" i="2"/>
  <c r="AD222" i="2" s="1"/>
  <c r="AD221" i="2"/>
  <c r="W197" i="2"/>
  <c r="W196" i="2"/>
  <c r="BC197" i="2"/>
  <c r="BC196" i="2"/>
  <c r="P197" i="2"/>
  <c r="P196" i="2"/>
  <c r="AF220" i="2"/>
  <c r="AF222" i="2" s="1"/>
  <c r="AF221" i="2"/>
  <c r="AV197" i="2"/>
  <c r="AV196" i="2"/>
  <c r="BL197" i="2"/>
  <c r="BL196" i="2"/>
  <c r="F197" i="2"/>
  <c r="F196" i="2"/>
  <c r="AH197" i="2"/>
  <c r="AH196" i="2"/>
  <c r="AA221" i="2"/>
  <c r="AA220" i="2"/>
  <c r="AA222" i="2" s="1"/>
  <c r="BA221" i="2"/>
  <c r="BA220" i="2"/>
  <c r="BL220" i="2"/>
  <c r="BL221" i="2"/>
  <c r="M197" i="2"/>
  <c r="M196" i="2"/>
  <c r="BI197" i="2"/>
  <c r="BI196" i="2"/>
  <c r="CH196" i="2"/>
  <c r="CF196" i="2"/>
  <c r="AW197" i="2"/>
  <c r="AW196" i="2"/>
  <c r="R197" i="2"/>
  <c r="R196" i="2"/>
  <c r="S196" i="2"/>
  <c r="D220" i="2"/>
  <c r="D221" i="2"/>
  <c r="T220" i="2"/>
  <c r="T221" i="2"/>
  <c r="AJ220" i="2"/>
  <c r="AJ221" i="2"/>
  <c r="AZ220" i="2"/>
  <c r="AZ221" i="2"/>
  <c r="AT221" i="2"/>
  <c r="AT220" i="2"/>
  <c r="AT222" i="2" s="1"/>
  <c r="V220" i="2"/>
  <c r="V221" i="2"/>
  <c r="BJ220" i="2"/>
  <c r="BJ221" i="2"/>
  <c r="D197" i="2"/>
  <c r="D196" i="2"/>
  <c r="BX196" i="2"/>
  <c r="AG197" i="2"/>
  <c r="AG196" i="2"/>
  <c r="BE197" i="2"/>
  <c r="BE196" i="2"/>
  <c r="AE197" i="2"/>
  <c r="AE196" i="2"/>
  <c r="T197" i="2"/>
  <c r="T196" i="2"/>
  <c r="BT196" i="2"/>
  <c r="AK220" i="2"/>
  <c r="AK221" i="2"/>
  <c r="N220" i="2"/>
  <c r="N221" i="2"/>
  <c r="BB220" i="2"/>
  <c r="BB221" i="2"/>
  <c r="S221" i="2"/>
  <c r="S220" i="2"/>
  <c r="S222" i="2" s="1"/>
  <c r="AY221" i="2"/>
  <c r="AY220" i="2"/>
  <c r="AY222" i="2" s="1"/>
  <c r="AO221" i="2"/>
  <c r="AO220" i="2"/>
  <c r="AO222" i="2" s="1"/>
  <c r="AX220" i="2"/>
  <c r="AX221" i="2"/>
  <c r="AD197" i="2"/>
  <c r="AD196" i="2"/>
  <c r="AK197" i="2"/>
  <c r="AK196" i="2"/>
  <c r="AP221" i="2"/>
  <c r="AP220" i="2"/>
  <c r="AP222" i="2" s="1"/>
  <c r="Y221" i="2"/>
  <c r="Y220" i="2"/>
  <c r="Y222" i="2" s="1"/>
  <c r="AL221" i="2"/>
  <c r="AL220" i="2"/>
  <c r="AL222" i="2" s="1"/>
  <c r="G221" i="2"/>
  <c r="G220" i="2"/>
  <c r="G222" i="2" s="1"/>
  <c r="AM221" i="2"/>
  <c r="AM220" i="2"/>
  <c r="AM222" i="2" s="1"/>
  <c r="H220" i="2"/>
  <c r="H221" i="2"/>
  <c r="X220" i="2"/>
  <c r="X221" i="2"/>
  <c r="AN221" i="2"/>
  <c r="AN220" i="2"/>
  <c r="AN222" i="2" s="1"/>
  <c r="BD220" i="2"/>
  <c r="BD221" i="2"/>
  <c r="BR196" i="2"/>
  <c r="Q197" i="2"/>
  <c r="Q196" i="2"/>
  <c r="CR196" i="2"/>
  <c r="AI196" i="2"/>
  <c r="AC197" i="2"/>
  <c r="AC196" i="2"/>
  <c r="BM197" i="2"/>
  <c r="BM196" i="2"/>
  <c r="AH220" i="2"/>
  <c r="AH221" i="2"/>
  <c r="K197" i="2"/>
  <c r="K196" i="2"/>
  <c r="AQ197" i="2"/>
  <c r="AQ196" i="2"/>
  <c r="CY197" i="2"/>
  <c r="CY196" i="2"/>
  <c r="Y197" i="2"/>
  <c r="Y196" i="2"/>
  <c r="AL197" i="2"/>
  <c r="AL196" i="2"/>
  <c r="G197" i="2"/>
  <c r="G196" i="2"/>
  <c r="AM197" i="2"/>
  <c r="AM196" i="2"/>
  <c r="BU196" i="2"/>
  <c r="CN196" i="2"/>
  <c r="CJ196" i="2"/>
  <c r="U197" i="2"/>
  <c r="U196" i="2"/>
  <c r="AT197" i="2"/>
  <c r="AT196" i="2"/>
  <c r="O221" i="2"/>
  <c r="O220" i="2"/>
  <c r="O222" i="2" s="1"/>
  <c r="AU221" i="2"/>
  <c r="AU220" i="2"/>
  <c r="AU222" i="2" s="1"/>
  <c r="L220" i="2"/>
  <c r="L221" i="2"/>
  <c r="AB220" i="2"/>
  <c r="AB221" i="2"/>
  <c r="AR221" i="2"/>
  <c r="AR220" i="2"/>
  <c r="AR222" i="2" s="1"/>
  <c r="BH220" i="2"/>
  <c r="BH221" i="2"/>
  <c r="BY196" i="2"/>
  <c r="BF197" i="2"/>
  <c r="BF196" i="2"/>
  <c r="J220" i="2"/>
  <c r="J222" i="2" s="1"/>
  <c r="J221" i="2"/>
  <c r="W221" i="2"/>
  <c r="W220" i="2"/>
  <c r="W222" i="2" s="1"/>
  <c r="AW221" i="2"/>
  <c r="AW220" i="2"/>
  <c r="BV196" i="2"/>
  <c r="CT196" i="2"/>
  <c r="CW196" i="2"/>
  <c r="AG221" i="2"/>
  <c r="AG220" i="2"/>
  <c r="AG222" i="2" s="1"/>
  <c r="F220" i="2"/>
  <c r="F221" i="2"/>
  <c r="BF220" i="2"/>
  <c r="BF221" i="2"/>
  <c r="AY196" i="2"/>
  <c r="H197" i="2"/>
  <c r="H196" i="2"/>
  <c r="X197" i="2"/>
  <c r="X196" i="2"/>
  <c r="AN197" i="2"/>
  <c r="AN196" i="2"/>
  <c r="BD197" i="2"/>
  <c r="BD196" i="2"/>
  <c r="CG196" i="2"/>
  <c r="AS221" i="2"/>
  <c r="AS220" i="2"/>
  <c r="AS222" i="2" s="1"/>
  <c r="BN220" i="2"/>
  <c r="BN221" i="2"/>
  <c r="I197" i="2"/>
  <c r="I196" i="2"/>
  <c r="P220" i="2"/>
  <c r="P221" i="2"/>
  <c r="U221" i="2"/>
  <c r="U220" i="2"/>
  <c r="U222" i="2" s="1"/>
  <c r="E221" i="2"/>
  <c r="E220" i="2"/>
  <c r="E222" i="2" s="1"/>
  <c r="Z197" i="2"/>
  <c r="Z196" i="2"/>
  <c r="BC221" i="2"/>
  <c r="BC220" i="2"/>
  <c r="BC222" i="2" s="1"/>
  <c r="AF197" i="2"/>
  <c r="AF196" i="2"/>
  <c r="CD196" i="2"/>
  <c r="E197" i="2"/>
  <c r="E196" i="2"/>
  <c r="AS197" i="2"/>
  <c r="AS196" i="2"/>
  <c r="V197" i="2"/>
  <c r="V196" i="2"/>
  <c r="BN197" i="2"/>
  <c r="BN196" i="2"/>
  <c r="AA197" i="2"/>
  <c r="AA196" i="2"/>
  <c r="BG197" i="2"/>
  <c r="BG196" i="2"/>
  <c r="BA197" i="2"/>
  <c r="BA196" i="2"/>
  <c r="J197" i="2"/>
  <c r="J196" i="2"/>
  <c r="BJ197" i="2"/>
  <c r="BJ196" i="2"/>
  <c r="CM196" i="2"/>
  <c r="CC196" i="2"/>
  <c r="R220" i="2"/>
  <c r="R222" i="2" s="1"/>
  <c r="R221" i="2"/>
  <c r="AC221" i="2"/>
  <c r="AC220" i="2"/>
  <c r="AC222" i="2" s="1"/>
  <c r="BM221" i="2"/>
  <c r="BM220" i="2"/>
  <c r="N197" i="2"/>
  <c r="N196" i="2"/>
  <c r="BB197" i="2"/>
  <c r="BB196" i="2"/>
  <c r="K221" i="2"/>
  <c r="K220" i="2"/>
  <c r="AQ221" i="2"/>
  <c r="AQ220" i="2"/>
  <c r="AO197" i="2"/>
  <c r="AO196" i="2"/>
  <c r="AX197" i="2"/>
  <c r="AX196" i="2"/>
  <c r="O197" i="2"/>
  <c r="O196" i="2"/>
  <c r="AU197" i="2"/>
  <c r="AU196" i="2"/>
  <c r="L197" i="2"/>
  <c r="L196" i="2"/>
  <c r="AB197" i="2"/>
  <c r="AB196" i="2"/>
  <c r="AR197" i="2"/>
  <c r="AR196" i="2"/>
  <c r="BH197" i="2"/>
  <c r="BH196" i="2"/>
  <c r="BZ196" i="2"/>
  <c r="BG221" i="2"/>
  <c r="BG220" i="2"/>
  <c r="BG222" i="2" s="1"/>
  <c r="BK197" i="2"/>
  <c r="BK196" i="2"/>
  <c r="AJ197" i="2"/>
  <c r="AJ196" i="2"/>
  <c r="AZ197" i="2"/>
  <c r="AZ196" i="2"/>
  <c r="BP196" i="2"/>
  <c r="Q221" i="2"/>
  <c r="Q220" i="2"/>
  <c r="BE221" i="2"/>
  <c r="BE220" i="2"/>
  <c r="AP197" i="2"/>
  <c r="AP196" i="2"/>
  <c r="AI221" i="2"/>
  <c r="AI220" i="2"/>
  <c r="I221" i="2"/>
  <c r="I220" i="2"/>
  <c r="Z220" i="2"/>
  <c r="Z222" i="2" s="1"/>
  <c r="Z221" i="2"/>
  <c r="AE221" i="2"/>
  <c r="AE220" i="2"/>
  <c r="BK221" i="2"/>
  <c r="BK220" i="2"/>
  <c r="CL196" i="2"/>
  <c r="C206" i="2"/>
  <c r="BO222" i="2"/>
  <c r="BQ222" i="2"/>
  <c r="BS222" i="2"/>
  <c r="BU222" i="2"/>
  <c r="BW222" i="2"/>
  <c r="BY222" i="2"/>
  <c r="CA222" i="2"/>
  <c r="CC222" i="2"/>
  <c r="CE222" i="2"/>
  <c r="CG222" i="2"/>
  <c r="CI222" i="2"/>
  <c r="CK222" i="2"/>
  <c r="CM222" i="2"/>
  <c r="CO222" i="2"/>
  <c r="CP222" i="2"/>
  <c r="CR222" i="2"/>
  <c r="CT222" i="2"/>
  <c r="CI125" i="2"/>
  <c r="CI124" i="2"/>
  <c r="CE125" i="2"/>
  <c r="CE124" i="2"/>
  <c r="CA125" i="2"/>
  <c r="CA124" i="2"/>
  <c r="BU125" i="2"/>
  <c r="BU124" i="2"/>
  <c r="BQ125" i="2"/>
  <c r="BQ124" i="2"/>
  <c r="BM125" i="2"/>
  <c r="BM124" i="2"/>
  <c r="BI125" i="2"/>
  <c r="BI124" i="2"/>
  <c r="BC125" i="2"/>
  <c r="BC124" i="2"/>
  <c r="AY125" i="2"/>
  <c r="AY124" i="2"/>
  <c r="AU125" i="2"/>
  <c r="AU124" i="2"/>
  <c r="AO125" i="2"/>
  <c r="AO124" i="2"/>
  <c r="AK125" i="2"/>
  <c r="AK124" i="2"/>
  <c r="AG125" i="2"/>
  <c r="AG124" i="2"/>
  <c r="AC125" i="2"/>
  <c r="AC124" i="2"/>
  <c r="W125" i="2"/>
  <c r="W124" i="2"/>
  <c r="S125" i="2"/>
  <c r="S124" i="2"/>
  <c r="O125" i="2"/>
  <c r="O124" i="2"/>
  <c r="I125" i="2"/>
  <c r="I124" i="2"/>
  <c r="E125" i="2"/>
  <c r="E124" i="2"/>
  <c r="CL124" i="2"/>
  <c r="CL125" i="2"/>
  <c r="CH124" i="2"/>
  <c r="CH125" i="2"/>
  <c r="CD124" i="2"/>
  <c r="CD125" i="2"/>
  <c r="BZ124" i="2"/>
  <c r="BZ125" i="2"/>
  <c r="BV124" i="2"/>
  <c r="BV125" i="2"/>
  <c r="BR124" i="2"/>
  <c r="BR125" i="2"/>
  <c r="BN124" i="2"/>
  <c r="BN125" i="2"/>
  <c r="BJ124" i="2"/>
  <c r="BJ125" i="2"/>
  <c r="BF124" i="2"/>
  <c r="BF125" i="2"/>
  <c r="BB124" i="2"/>
  <c r="BB125" i="2"/>
  <c r="AX124" i="2"/>
  <c r="AX125" i="2"/>
  <c r="AT124" i="2"/>
  <c r="AT125" i="2"/>
  <c r="AP124" i="2"/>
  <c r="AP125" i="2"/>
  <c r="AL124" i="2"/>
  <c r="AL125" i="2"/>
  <c r="AH124" i="2"/>
  <c r="AH125" i="2"/>
  <c r="AD124" i="2"/>
  <c r="AD125" i="2"/>
  <c r="Z124" i="2"/>
  <c r="Z125" i="2"/>
  <c r="V124" i="2"/>
  <c r="V125" i="2"/>
  <c r="R124" i="2"/>
  <c r="R125" i="2"/>
  <c r="N124" i="2"/>
  <c r="N125" i="2"/>
  <c r="J125" i="2"/>
  <c r="J124" i="2"/>
  <c r="F125" i="2"/>
  <c r="F124" i="2"/>
  <c r="CK125" i="2"/>
  <c r="CK124" i="2"/>
  <c r="CG125" i="2"/>
  <c r="CG124" i="2"/>
  <c r="CC125" i="2"/>
  <c r="CC124" i="2"/>
  <c r="BY125" i="2"/>
  <c r="BY124" i="2"/>
  <c r="BS125" i="2"/>
  <c r="BS124" i="2"/>
  <c r="BO125" i="2"/>
  <c r="BO124" i="2"/>
  <c r="BK125" i="2"/>
  <c r="BK124" i="2"/>
  <c r="BE125" i="2"/>
  <c r="BE124" i="2"/>
  <c r="BA125" i="2"/>
  <c r="BA124" i="2"/>
  <c r="AW125" i="2"/>
  <c r="AW124" i="2"/>
  <c r="AS125" i="2"/>
  <c r="AS124" i="2"/>
  <c r="AM125" i="2"/>
  <c r="AM124" i="2"/>
  <c r="AI125" i="2"/>
  <c r="AI124" i="2"/>
  <c r="AE125" i="2"/>
  <c r="AE124" i="2"/>
  <c r="Y125" i="2"/>
  <c r="Y124" i="2"/>
  <c r="U125" i="2"/>
  <c r="U124" i="2"/>
  <c r="Q125" i="2"/>
  <c r="Q124" i="2"/>
  <c r="M125" i="2"/>
  <c r="M124" i="2"/>
  <c r="G125" i="2"/>
  <c r="G124" i="2"/>
  <c r="CJ124" i="2"/>
  <c r="CJ125" i="2"/>
  <c r="CF124" i="2"/>
  <c r="CF125" i="2"/>
  <c r="CB124" i="2"/>
  <c r="CB125" i="2"/>
  <c r="BX124" i="2"/>
  <c r="BX125" i="2"/>
  <c r="BT124" i="2"/>
  <c r="BT125" i="2"/>
  <c r="BP124" i="2"/>
  <c r="BP125" i="2"/>
  <c r="BL124" i="2"/>
  <c r="BL125" i="2"/>
  <c r="BH124" i="2"/>
  <c r="BH125" i="2"/>
  <c r="BD124" i="2"/>
  <c r="BD125" i="2"/>
  <c r="AZ124" i="2"/>
  <c r="AZ125" i="2"/>
  <c r="AV124" i="2"/>
  <c r="AV125" i="2"/>
  <c r="AR124" i="2"/>
  <c r="AR125" i="2"/>
  <c r="AN124" i="2"/>
  <c r="AN125" i="2"/>
  <c r="AJ124" i="2"/>
  <c r="AJ125" i="2"/>
  <c r="AF124" i="2"/>
  <c r="AF125" i="2"/>
  <c r="AB124" i="2"/>
  <c r="AB125" i="2"/>
  <c r="X124" i="2"/>
  <c r="X125" i="2"/>
  <c r="T124" i="2"/>
  <c r="T125" i="2"/>
  <c r="P124" i="2"/>
  <c r="P125" i="2"/>
  <c r="L124" i="2"/>
  <c r="L125" i="2"/>
  <c r="H125" i="2"/>
  <c r="H124" i="2"/>
  <c r="D125" i="2"/>
  <c r="D124" i="2"/>
  <c r="CT125" i="2"/>
  <c r="CT124" i="2"/>
  <c r="CN125" i="2"/>
  <c r="CN124" i="2"/>
  <c r="CW124" i="2"/>
  <c r="CW125" i="2"/>
  <c r="CS124" i="2"/>
  <c r="CS125" i="2"/>
  <c r="CO124" i="2"/>
  <c r="CO125" i="2"/>
  <c r="CV125" i="2"/>
  <c r="CV124" i="2"/>
  <c r="CR125" i="2"/>
  <c r="CR124" i="2"/>
  <c r="CY124" i="2"/>
  <c r="CY125" i="2"/>
  <c r="CU124" i="2"/>
  <c r="CU125" i="2"/>
  <c r="CQ124" i="2"/>
  <c r="CQ125" i="2"/>
  <c r="AH222" i="2" l="1"/>
  <c r="BL222" i="2"/>
  <c r="AE222" i="2"/>
  <c r="I222" i="2"/>
  <c r="Q222" i="2"/>
  <c r="AQ222" i="2"/>
  <c r="BM222" i="2"/>
  <c r="BF222" i="2"/>
  <c r="AW222" i="2"/>
  <c r="L222" i="2"/>
  <c r="H222" i="2"/>
  <c r="AX222" i="2"/>
  <c r="BB222" i="2"/>
  <c r="AK222" i="2"/>
  <c r="V222" i="2"/>
  <c r="AZ222" i="2"/>
  <c r="T222" i="2"/>
  <c r="BA222" i="2"/>
  <c r="M222" i="2"/>
  <c r="BK222" i="2"/>
  <c r="AI222" i="2"/>
  <c r="BE222" i="2"/>
  <c r="K222" i="2"/>
  <c r="P222" i="2"/>
  <c r="BN222" i="2"/>
  <c r="F222" i="2"/>
  <c r="BH222" i="2"/>
  <c r="AB222" i="2"/>
  <c r="BD222" i="2"/>
  <c r="X222" i="2"/>
  <c r="N222" i="2"/>
  <c r="BJ222" i="2"/>
  <c r="AJ222" i="2"/>
  <c r="D222" i="2"/>
  <c r="C208" i="2"/>
  <c r="C209" i="2" l="1"/>
  <c r="C210" i="2" l="1"/>
  <c r="C211" i="2" l="1"/>
  <c r="C212" i="2" l="1"/>
  <c r="C213" i="2" l="1"/>
  <c r="C214" i="2" l="1"/>
  <c r="C215" i="2" l="1"/>
  <c r="C216" i="2" l="1"/>
  <c r="C217" i="2" l="1"/>
  <c r="C218" i="2" l="1"/>
  <c r="C219" i="2"/>
</calcChain>
</file>

<file path=xl/sharedStrings.xml><?xml version="1.0" encoding="utf-8"?>
<sst xmlns="http://schemas.openxmlformats.org/spreadsheetml/2006/main" count="54" uniqueCount="38">
  <si>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</si>
  <si>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</si>
  <si>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</si>
  <si>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</si>
  <si>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</si>
  <si>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</si>
  <si>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</si>
  <si>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</si>
  <si>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</si>
  <si>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</si>
  <si>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</si>
  <si>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</si>
  <si>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</si>
  <si>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</si>
  <si>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</si>
  <si>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</si>
  <si>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</si>
  <si>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</si>
  <si>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</si>
  <si>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</si>
  <si>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deaths</t>
  </si>
  <si>
    <t>Population</t>
  </si>
  <si>
    <t>average</t>
  </si>
  <si>
    <t>median</t>
  </si>
  <si>
    <t>net migration (I-E)</t>
  </si>
  <si>
    <t>reg error</t>
  </si>
  <si>
    <t>approximation error for deaths</t>
  </si>
  <si>
    <t>approximation error for net migration</t>
  </si>
  <si>
    <t>relative approximation error for deaths</t>
  </si>
  <si>
    <t>relative approximation error for net migration</t>
  </si>
  <si>
    <t>av/med</t>
  </si>
  <si>
    <t>0-100</t>
  </si>
  <si>
    <t>sum</t>
  </si>
  <si>
    <t>15-100</t>
  </si>
  <si>
    <t>Age 1 Jan</t>
  </si>
  <si>
    <t>age 31st Dec</t>
  </si>
  <si>
    <t>age 1 Jan</t>
  </si>
  <si>
    <t>relative registration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</si>
</sst>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0.0"/>
  </numFmts>
  <fonts count="5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 applyBorder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6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1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/>
    </xf>
    <xf numFmtId="0" fontId="0" fillId="0" borderId="0" xfId="0" applyNumberFormat="1" applyFill="1" applyAlignment="1" applyProtection="1"/>
    <xf numFmtId="1" fontId="0" fillId="0" borderId="0" xfId="0" applyNumberFormat="1" applyFill="1" applyAlignment="1" applyProtection="1"/>
    <xf numFmtId="1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0" fillId="0" borderId="0" xfId="0"/>
    <xf numFmtId="0" fontId="3" fillId="2" borderId="0" xfId="1" applyNumberFormat="1" applyAlignment="1" applyProtection="1"/>
    <xf numFmtId="164" fontId="0" fillId="0" borderId="0" xfId="0" applyNumberFormat="1" applyFill="1" applyAlignment="1" applyProtection="1"/>
    <xf numFmtId="2" fontId="0" fillId="0" borderId="0" xfId="0" applyNumberFormat="1" applyFill="1" applyAlignment="1" applyProtection="1"/>
    <xf numFmtId="0" fontId="4" fillId="3" borderId="0" xfId="2" applyNumberFormat="1" applyAlignment="1" applyProtection="1"/>
    <xf numFmtId="165" fontId="0" fillId="0" borderId="0" xfId="0" applyNumberFormat="1" applyFill="1" applyAlignment="1" applyProtection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Register errors -</a:t>
            </a:r>
          </a:p>
          <a:p>
            <a:pPr>
              <a:defRPr/>
            </a:pPr>
            <a:r>
              <a:rPr lang="en-GB" sz="1000" baseline="0"/>
              <a:t>averages for the period 2003-2022</a:t>
            </a:r>
            <a:endParaRPr lang="en-GB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40069991251094"/>
          <c:y val="0.23553295421405657"/>
          <c:w val="0.76968503937007871"/>
          <c:h val="0.64459098862642172"/>
        </c:manualLayout>
      </c:layout>
      <c:lineChart>
        <c:grouping val="standard"/>
        <c:varyColors val="0"/>
        <c:ser>
          <c:idx val="0"/>
          <c:order val="0"/>
          <c:tx>
            <c:v>average error (scale left)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Personer1!$C$28:$CY$28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Personer1!$C$99:$CY$99</c:f>
              <c:numCache>
                <c:formatCode>0.00</c:formatCode>
                <c:ptCount val="101"/>
                <c:pt idx="0">
                  <c:v>-43.15</c:v>
                </c:pt>
                <c:pt idx="1">
                  <c:v>0.3</c:v>
                </c:pt>
                <c:pt idx="2">
                  <c:v>3.15</c:v>
                </c:pt>
                <c:pt idx="3">
                  <c:v>-2.95</c:v>
                </c:pt>
                <c:pt idx="4">
                  <c:v>-7</c:v>
                </c:pt>
                <c:pt idx="5">
                  <c:v>-2.5499999999999998</c:v>
                </c:pt>
                <c:pt idx="6">
                  <c:v>-0.9</c:v>
                </c:pt>
                <c:pt idx="7">
                  <c:v>-4.55</c:v>
                </c:pt>
                <c:pt idx="8">
                  <c:v>-2.15</c:v>
                </c:pt>
                <c:pt idx="9">
                  <c:v>-1.1000000000000001</c:v>
                </c:pt>
                <c:pt idx="10">
                  <c:v>-1.35</c:v>
                </c:pt>
                <c:pt idx="11">
                  <c:v>-1.65</c:v>
                </c:pt>
                <c:pt idx="12">
                  <c:v>0.8</c:v>
                </c:pt>
                <c:pt idx="13">
                  <c:v>-0.1</c:v>
                </c:pt>
                <c:pt idx="14">
                  <c:v>-3.6</c:v>
                </c:pt>
                <c:pt idx="15">
                  <c:v>2.35</c:v>
                </c:pt>
                <c:pt idx="16">
                  <c:v>7.55</c:v>
                </c:pt>
                <c:pt idx="17">
                  <c:v>28.9</c:v>
                </c:pt>
                <c:pt idx="18">
                  <c:v>16.399999999999999</c:v>
                </c:pt>
                <c:pt idx="19">
                  <c:v>5.55</c:v>
                </c:pt>
                <c:pt idx="20">
                  <c:v>23.25</c:v>
                </c:pt>
                <c:pt idx="21">
                  <c:v>11.25</c:v>
                </c:pt>
                <c:pt idx="22">
                  <c:v>17.55</c:v>
                </c:pt>
                <c:pt idx="23">
                  <c:v>18.8</c:v>
                </c:pt>
                <c:pt idx="24">
                  <c:v>16.55</c:v>
                </c:pt>
                <c:pt idx="25">
                  <c:v>11.45</c:v>
                </c:pt>
                <c:pt idx="26">
                  <c:v>9.9</c:v>
                </c:pt>
                <c:pt idx="27">
                  <c:v>0.95</c:v>
                </c:pt>
                <c:pt idx="28">
                  <c:v>-0.85</c:v>
                </c:pt>
                <c:pt idx="29">
                  <c:v>0.05</c:v>
                </c:pt>
                <c:pt idx="30">
                  <c:v>-6.9</c:v>
                </c:pt>
                <c:pt idx="31">
                  <c:v>-21.8</c:v>
                </c:pt>
                <c:pt idx="32">
                  <c:v>-25.1</c:v>
                </c:pt>
                <c:pt idx="33">
                  <c:v>-4.75</c:v>
                </c:pt>
                <c:pt idx="34">
                  <c:v>-8</c:v>
                </c:pt>
                <c:pt idx="35">
                  <c:v>-7.55</c:v>
                </c:pt>
                <c:pt idx="36">
                  <c:v>-4.3499999999999996</c:v>
                </c:pt>
                <c:pt idx="37">
                  <c:v>-6.5</c:v>
                </c:pt>
                <c:pt idx="38">
                  <c:v>-7.35</c:v>
                </c:pt>
                <c:pt idx="39">
                  <c:v>-2.5</c:v>
                </c:pt>
                <c:pt idx="40">
                  <c:v>-4.2</c:v>
                </c:pt>
                <c:pt idx="41">
                  <c:v>-0.25</c:v>
                </c:pt>
                <c:pt idx="42">
                  <c:v>-10.050000000000001</c:v>
                </c:pt>
                <c:pt idx="43">
                  <c:v>-0.3</c:v>
                </c:pt>
                <c:pt idx="44">
                  <c:v>-0.95</c:v>
                </c:pt>
                <c:pt idx="45">
                  <c:v>-1</c:v>
                </c:pt>
                <c:pt idx="46">
                  <c:v>-0.85</c:v>
                </c:pt>
                <c:pt idx="47">
                  <c:v>0.85</c:v>
                </c:pt>
                <c:pt idx="48">
                  <c:v>-3.95</c:v>
                </c:pt>
                <c:pt idx="49">
                  <c:v>-1.45</c:v>
                </c:pt>
                <c:pt idx="50">
                  <c:v>-3.35</c:v>
                </c:pt>
                <c:pt idx="51">
                  <c:v>2.35</c:v>
                </c:pt>
                <c:pt idx="52">
                  <c:v>0.3</c:v>
                </c:pt>
                <c:pt idx="53">
                  <c:v>0.05</c:v>
                </c:pt>
                <c:pt idx="54">
                  <c:v>1.95</c:v>
                </c:pt>
                <c:pt idx="55">
                  <c:v>-0.9</c:v>
                </c:pt>
                <c:pt idx="56">
                  <c:v>0.95</c:v>
                </c:pt>
                <c:pt idx="57">
                  <c:v>-1.65</c:v>
                </c:pt>
                <c:pt idx="58">
                  <c:v>0.7</c:v>
                </c:pt>
                <c:pt idx="59">
                  <c:v>1.6</c:v>
                </c:pt>
                <c:pt idx="60">
                  <c:v>-0.05</c:v>
                </c:pt>
                <c:pt idx="61">
                  <c:v>-0.05</c:v>
                </c:pt>
                <c:pt idx="62">
                  <c:v>0.4</c:v>
                </c:pt>
                <c:pt idx="63">
                  <c:v>-0.15</c:v>
                </c:pt>
                <c:pt idx="64">
                  <c:v>-0.5</c:v>
                </c:pt>
                <c:pt idx="65">
                  <c:v>1.55</c:v>
                </c:pt>
                <c:pt idx="66">
                  <c:v>-1.05</c:v>
                </c:pt>
                <c:pt idx="67">
                  <c:v>0.1</c:v>
                </c:pt>
                <c:pt idx="68">
                  <c:v>-1.6</c:v>
                </c:pt>
                <c:pt idx="69">
                  <c:v>1.05</c:v>
                </c:pt>
                <c:pt idx="70">
                  <c:v>-0.25</c:v>
                </c:pt>
                <c:pt idx="71">
                  <c:v>0.2</c:v>
                </c:pt>
                <c:pt idx="72">
                  <c:v>-0.6</c:v>
                </c:pt>
                <c:pt idx="73">
                  <c:v>-1.5</c:v>
                </c:pt>
                <c:pt idx="74">
                  <c:v>1</c:v>
                </c:pt>
                <c:pt idx="75">
                  <c:v>-0.55000000000000004</c:v>
                </c:pt>
                <c:pt idx="76">
                  <c:v>-0.6</c:v>
                </c:pt>
                <c:pt idx="77">
                  <c:v>1.75</c:v>
                </c:pt>
                <c:pt idx="78">
                  <c:v>-0.05</c:v>
                </c:pt>
                <c:pt idx="79">
                  <c:v>-0.05</c:v>
                </c:pt>
                <c:pt idx="80">
                  <c:v>0.55000000000000004</c:v>
                </c:pt>
                <c:pt idx="81">
                  <c:v>0.6</c:v>
                </c:pt>
                <c:pt idx="82">
                  <c:v>-0.35</c:v>
                </c:pt>
                <c:pt idx="83">
                  <c:v>-0.9</c:v>
                </c:pt>
                <c:pt idx="84">
                  <c:v>-0.8</c:v>
                </c:pt>
                <c:pt idx="85">
                  <c:v>1.75</c:v>
                </c:pt>
                <c:pt idx="86">
                  <c:v>-0.65</c:v>
                </c:pt>
                <c:pt idx="87">
                  <c:v>-1.35</c:v>
                </c:pt>
                <c:pt idx="88">
                  <c:v>0.7</c:v>
                </c:pt>
                <c:pt idx="89">
                  <c:v>-0.65</c:v>
                </c:pt>
                <c:pt idx="90">
                  <c:v>-0.35</c:v>
                </c:pt>
                <c:pt idx="91">
                  <c:v>0.45</c:v>
                </c:pt>
                <c:pt idx="92">
                  <c:v>-0.55000000000000004</c:v>
                </c:pt>
                <c:pt idx="93">
                  <c:v>-0.55000000000000004</c:v>
                </c:pt>
                <c:pt idx="94">
                  <c:v>-0.65</c:v>
                </c:pt>
                <c:pt idx="95">
                  <c:v>-0.55000000000000004</c:v>
                </c:pt>
                <c:pt idx="96">
                  <c:v>-0.75</c:v>
                </c:pt>
                <c:pt idx="97">
                  <c:v>-0.55000000000000004</c:v>
                </c:pt>
                <c:pt idx="98">
                  <c:v>-0.6</c:v>
                </c:pt>
                <c:pt idx="99">
                  <c:v>-0.45</c:v>
                </c:pt>
                <c:pt idx="100">
                  <c:v>-0.2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29-422D-9926-4D4B9E09E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327248"/>
        <c:axId val="811320032"/>
      </c:lineChart>
      <c:lineChart>
        <c:grouping val="standard"/>
        <c:varyColors val="0"/>
        <c:ser>
          <c:idx val="1"/>
          <c:order val="1"/>
          <c:tx>
            <c:v>average relative error (scale right)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Personer1!$C$103:$CY$103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Personer1!$C$124:$CY$124</c:f>
              <c:numCache>
                <c:formatCode>0.00000</c:formatCode>
                <c:ptCount val="101"/>
                <c:pt idx="0">
                  <c:v>-7.1414571080311831E-4</c:v>
                </c:pt>
                <c:pt idx="1">
                  <c:v>1.0160789837207527E-5</c:v>
                </c:pt>
                <c:pt idx="2">
                  <c:v>5.345313873197549E-5</c:v>
                </c:pt>
                <c:pt idx="3">
                  <c:v>-4.8857552819283809E-5</c:v>
                </c:pt>
                <c:pt idx="4">
                  <c:v>-1.15634205741273E-4</c:v>
                </c:pt>
                <c:pt idx="5">
                  <c:v>-4.307696734186446E-5</c:v>
                </c:pt>
                <c:pt idx="6">
                  <c:v>-1.4741238701956589E-5</c:v>
                </c:pt>
                <c:pt idx="7">
                  <c:v>-7.3794188619406774E-5</c:v>
                </c:pt>
                <c:pt idx="8">
                  <c:v>-3.4084535070948663E-5</c:v>
                </c:pt>
                <c:pt idx="9">
                  <c:v>-1.6687536587763082E-5</c:v>
                </c:pt>
                <c:pt idx="10">
                  <c:v>-2.1787294684492062E-5</c:v>
                </c:pt>
                <c:pt idx="11">
                  <c:v>-2.5419810066743398E-5</c:v>
                </c:pt>
                <c:pt idx="12">
                  <c:v>1.2648632614637383E-5</c:v>
                </c:pt>
                <c:pt idx="13">
                  <c:v>-1.2117789352234987E-6</c:v>
                </c:pt>
                <c:pt idx="14">
                  <c:v>-5.8326937853824532E-5</c:v>
                </c:pt>
                <c:pt idx="15">
                  <c:v>3.7512816292734961E-5</c:v>
                </c:pt>
                <c:pt idx="16">
                  <c:v>1.2196978925067622E-4</c:v>
                </c:pt>
                <c:pt idx="17">
                  <c:v>4.596116794517619E-4</c:v>
                </c:pt>
                <c:pt idx="18">
                  <c:v>2.6855209963245607E-4</c:v>
                </c:pt>
                <c:pt idx="19">
                  <c:v>9.5679808736545536E-5</c:v>
                </c:pt>
                <c:pt idx="20">
                  <c:v>3.7582950045590409E-4</c:v>
                </c:pt>
                <c:pt idx="21">
                  <c:v>1.9803402409336568E-4</c:v>
                </c:pt>
                <c:pt idx="22">
                  <c:v>2.8257478500552148E-4</c:v>
                </c:pt>
                <c:pt idx="23">
                  <c:v>3.0330138944445581E-4</c:v>
                </c:pt>
                <c:pt idx="24">
                  <c:v>2.5577755289831161E-4</c:v>
                </c:pt>
                <c:pt idx="25">
                  <c:v>1.5820866029973648E-4</c:v>
                </c:pt>
                <c:pt idx="26">
                  <c:v>1.4050368436299996E-4</c:v>
                </c:pt>
                <c:pt idx="27">
                  <c:v>9.0548251169193968E-6</c:v>
                </c:pt>
                <c:pt idx="28">
                  <c:v>-2.298510774195768E-5</c:v>
                </c:pt>
                <c:pt idx="29">
                  <c:v>-1.1229426179150434E-5</c:v>
                </c:pt>
                <c:pt idx="30">
                  <c:v>-9.8658327026318016E-5</c:v>
                </c:pt>
                <c:pt idx="31">
                  <c:v>-3.2583833624775388E-4</c:v>
                </c:pt>
                <c:pt idx="32">
                  <c:v>-3.6328085945749303E-4</c:v>
                </c:pt>
                <c:pt idx="33">
                  <c:v>-5.9332966004792061E-5</c:v>
                </c:pt>
                <c:pt idx="34">
                  <c:v>-1.1774546106241891E-4</c:v>
                </c:pt>
                <c:pt idx="35">
                  <c:v>-1.0783369192684709E-4</c:v>
                </c:pt>
                <c:pt idx="36">
                  <c:v>-5.9282258039876853E-5</c:v>
                </c:pt>
                <c:pt idx="37">
                  <c:v>-9.0906883868187624E-5</c:v>
                </c:pt>
                <c:pt idx="38">
                  <c:v>-1.030820790785037E-4</c:v>
                </c:pt>
                <c:pt idx="39">
                  <c:v>-3.4900147974520855E-5</c:v>
                </c:pt>
                <c:pt idx="40">
                  <c:v>-6.0092430103029235E-5</c:v>
                </c:pt>
                <c:pt idx="41">
                  <c:v>-5.2798220867753584E-6</c:v>
                </c:pt>
                <c:pt idx="42">
                  <c:v>-1.4188242498060403E-4</c:v>
                </c:pt>
                <c:pt idx="43">
                  <c:v>-7.0525337890198073E-6</c:v>
                </c:pt>
                <c:pt idx="44">
                  <c:v>-1.2966505974951139E-5</c:v>
                </c:pt>
                <c:pt idx="45">
                  <c:v>-1.7689719479610864E-5</c:v>
                </c:pt>
                <c:pt idx="46">
                  <c:v>-1.4078071325111554E-5</c:v>
                </c:pt>
                <c:pt idx="47">
                  <c:v>1.3098745411790343E-5</c:v>
                </c:pt>
                <c:pt idx="48">
                  <c:v>-5.8701034774406735E-5</c:v>
                </c:pt>
                <c:pt idx="49">
                  <c:v>-2.38725694980331E-5</c:v>
                </c:pt>
                <c:pt idx="50">
                  <c:v>-4.9177415734430483E-5</c:v>
                </c:pt>
                <c:pt idx="51">
                  <c:v>3.279178719477992E-5</c:v>
                </c:pt>
                <c:pt idx="52">
                  <c:v>2.9227836583651144E-6</c:v>
                </c:pt>
                <c:pt idx="53">
                  <c:v>-1.4690272184264409E-6</c:v>
                </c:pt>
                <c:pt idx="54">
                  <c:v>2.5685900052942918E-5</c:v>
                </c:pt>
                <c:pt idx="55">
                  <c:v>-1.3787632135612171E-5</c:v>
                </c:pt>
                <c:pt idx="56">
                  <c:v>1.5696207719800806E-5</c:v>
                </c:pt>
                <c:pt idx="57">
                  <c:v>-2.8571970378204776E-5</c:v>
                </c:pt>
                <c:pt idx="58">
                  <c:v>1.0269176095475024E-5</c:v>
                </c:pt>
                <c:pt idx="59">
                  <c:v>2.6900559873277849E-5</c:v>
                </c:pt>
                <c:pt idx="60">
                  <c:v>2.6867968566564091E-7</c:v>
                </c:pt>
                <c:pt idx="61">
                  <c:v>-2.1640635074806747E-6</c:v>
                </c:pt>
                <c:pt idx="62">
                  <c:v>2.3975315923064054E-6</c:v>
                </c:pt>
                <c:pt idx="63">
                  <c:v>-6.0486134944476629E-6</c:v>
                </c:pt>
                <c:pt idx="64">
                  <c:v>-5.6458967848601329E-6</c:v>
                </c:pt>
                <c:pt idx="65">
                  <c:v>1.9633944730035846E-5</c:v>
                </c:pt>
                <c:pt idx="66">
                  <c:v>-1.569776035250252E-5</c:v>
                </c:pt>
                <c:pt idx="67">
                  <c:v>-5.7227057622024906E-6</c:v>
                </c:pt>
                <c:pt idx="68">
                  <c:v>-4.181430039126502E-5</c:v>
                </c:pt>
                <c:pt idx="69">
                  <c:v>2.1378820593510261E-5</c:v>
                </c:pt>
                <c:pt idx="70">
                  <c:v>-7.5535066656300042E-6</c:v>
                </c:pt>
                <c:pt idx="71">
                  <c:v>4.5589957018203458E-6</c:v>
                </c:pt>
                <c:pt idx="72">
                  <c:v>-1.5580537617601164E-5</c:v>
                </c:pt>
                <c:pt idx="73">
                  <c:v>-4.5482737937254782E-5</c:v>
                </c:pt>
                <c:pt idx="74">
                  <c:v>2.9164544674087829E-5</c:v>
                </c:pt>
                <c:pt idx="75">
                  <c:v>-2.2117323705826248E-5</c:v>
                </c:pt>
                <c:pt idx="76">
                  <c:v>-1.5772841572922889E-5</c:v>
                </c:pt>
                <c:pt idx="77">
                  <c:v>5.5247901069016041E-5</c:v>
                </c:pt>
                <c:pt idx="78">
                  <c:v>7.1410134791211238E-7</c:v>
                </c:pt>
                <c:pt idx="79">
                  <c:v>1.4720253475625792E-6</c:v>
                </c:pt>
                <c:pt idx="80">
                  <c:v>2.3931857022356357E-5</c:v>
                </c:pt>
                <c:pt idx="81">
                  <c:v>2.6478983306654708E-5</c:v>
                </c:pt>
                <c:pt idx="82">
                  <c:v>-1.0827308484164262E-5</c:v>
                </c:pt>
                <c:pt idx="83">
                  <c:v>-4.0489300824877613E-5</c:v>
                </c:pt>
                <c:pt idx="84">
                  <c:v>-3.852583115680642E-5</c:v>
                </c:pt>
                <c:pt idx="85">
                  <c:v>9.797460853201286E-5</c:v>
                </c:pt>
                <c:pt idx="86">
                  <c:v>-3.8906548859163085E-5</c:v>
                </c:pt>
                <c:pt idx="87">
                  <c:v>-1.0290619899066204E-4</c:v>
                </c:pt>
                <c:pt idx="88">
                  <c:v>5.1223887252918611E-5</c:v>
                </c:pt>
                <c:pt idx="89">
                  <c:v>-6.735059006376972E-5</c:v>
                </c:pt>
                <c:pt idx="90">
                  <c:v>-4.6991543198111686E-5</c:v>
                </c:pt>
                <c:pt idx="91">
                  <c:v>6.7710324468962915E-5</c:v>
                </c:pt>
                <c:pt idx="92">
                  <c:v>-1.0875337043699085E-4</c:v>
                </c:pt>
                <c:pt idx="93">
                  <c:v>-1.4293268730411953E-4</c:v>
                </c:pt>
                <c:pt idx="94">
                  <c:v>-1.9360457544415633E-4</c:v>
                </c:pt>
                <c:pt idx="95">
                  <c:v>-2.0682544285449204E-4</c:v>
                </c:pt>
                <c:pt idx="96">
                  <c:v>-3.4451961986484961E-4</c:v>
                </c:pt>
                <c:pt idx="97">
                  <c:v>-5.4161849874678086E-4</c:v>
                </c:pt>
                <c:pt idx="98">
                  <c:v>-8.2811268269799285E-4</c:v>
                </c:pt>
                <c:pt idx="99">
                  <c:v>-7.6116258591168778E-4</c:v>
                </c:pt>
                <c:pt idx="100">
                  <c:v>-8.7370966832252153E-4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29-422D-9926-4D4B9E09E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040248"/>
        <c:axId val="497037296"/>
      </c:lineChart>
      <c:catAx>
        <c:axId val="81132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20032"/>
        <c:crossesAt val="-5.000000000000001E-3"/>
        <c:auto val="1"/>
        <c:lblAlgn val="ctr"/>
        <c:lblOffset val="100"/>
        <c:tickLblSkip val="5"/>
        <c:tickMarkSkip val="5"/>
        <c:noMultiLvlLbl val="0"/>
      </c:catAx>
      <c:valAx>
        <c:axId val="811320032"/>
        <c:scaling>
          <c:orientation val="minMax"/>
          <c:max val="30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27248"/>
        <c:crosses val="autoZero"/>
        <c:crossBetween val="between"/>
      </c:valAx>
      <c:valAx>
        <c:axId val="497037296"/>
        <c:scaling>
          <c:orientation val="minMax"/>
        </c:scaling>
        <c:delete val="0"/>
        <c:axPos val="r"/>
        <c:numFmt formatCode="0.00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40248"/>
        <c:crosses val="max"/>
        <c:crossBetween val="between"/>
      </c:valAx>
      <c:catAx>
        <c:axId val="497040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70372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3377809285093385"/>
          <c:y val="0.70370370370370372"/>
          <c:w val="0.48011072570912561"/>
          <c:h val="0.17534776902887139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Approximation errors for deaths - </a:t>
            </a:r>
            <a:endParaRPr lang="en-GB" sz="1000" baseline="0"/>
          </a:p>
          <a:p>
            <a:pPr>
              <a:defRPr/>
            </a:pPr>
            <a:r>
              <a:rPr lang="en-GB" sz="1000" baseline="0"/>
              <a:t>averages for the period 2003-2022</a:t>
            </a:r>
            <a:endParaRPr lang="en-GB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40069991251094"/>
          <c:y val="0.23553295421405657"/>
          <c:w val="0.76968503937007871"/>
          <c:h val="0.64459098862642172"/>
        </c:manualLayout>
      </c:layout>
      <c:lineChart>
        <c:grouping val="standard"/>
        <c:varyColors val="0"/>
        <c:ser>
          <c:idx val="0"/>
          <c:order val="0"/>
          <c:tx>
            <c:v>average appr. error (scale left)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Personer1!$C$103:$CY$103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Personer1!$C$148:$CY$148</c:f>
              <c:numCache>
                <c:formatCode>General</c:formatCode>
                <c:ptCount val="101"/>
                <c:pt idx="0">
                  <c:v>772.9</c:v>
                </c:pt>
                <c:pt idx="1">
                  <c:v>557.54999999999995</c:v>
                </c:pt>
                <c:pt idx="2">
                  <c:v>389.35</c:v>
                </c:pt>
                <c:pt idx="3">
                  <c:v>338.45</c:v>
                </c:pt>
                <c:pt idx="4">
                  <c:v>325.39999999999998</c:v>
                </c:pt>
                <c:pt idx="5">
                  <c:v>290.05</c:v>
                </c:pt>
                <c:pt idx="6">
                  <c:v>325.75</c:v>
                </c:pt>
                <c:pt idx="7">
                  <c:v>328.05</c:v>
                </c:pt>
                <c:pt idx="8">
                  <c:v>335.3</c:v>
                </c:pt>
                <c:pt idx="9">
                  <c:v>347.35</c:v>
                </c:pt>
                <c:pt idx="10">
                  <c:v>353.25</c:v>
                </c:pt>
                <c:pt idx="11">
                  <c:v>344.85</c:v>
                </c:pt>
                <c:pt idx="12">
                  <c:v>361.2</c:v>
                </c:pt>
                <c:pt idx="13">
                  <c:v>362.25</c:v>
                </c:pt>
                <c:pt idx="14">
                  <c:v>380.1</c:v>
                </c:pt>
                <c:pt idx="15">
                  <c:v>480.35</c:v>
                </c:pt>
                <c:pt idx="16">
                  <c:v>524.70000000000005</c:v>
                </c:pt>
                <c:pt idx="17">
                  <c:v>499.3</c:v>
                </c:pt>
                <c:pt idx="18">
                  <c:v>496.1</c:v>
                </c:pt>
                <c:pt idx="19">
                  <c:v>558.45000000000005</c:v>
                </c:pt>
                <c:pt idx="20">
                  <c:v>693</c:v>
                </c:pt>
                <c:pt idx="21">
                  <c:v>848.85</c:v>
                </c:pt>
                <c:pt idx="22">
                  <c:v>1083.7</c:v>
                </c:pt>
                <c:pt idx="23">
                  <c:v>1262.8499999999999</c:v>
                </c:pt>
                <c:pt idx="24">
                  <c:v>1457.15</c:v>
                </c:pt>
                <c:pt idx="25">
                  <c:v>1516.25</c:v>
                </c:pt>
                <c:pt idx="26">
                  <c:v>1438.15</c:v>
                </c:pt>
                <c:pt idx="27">
                  <c:v>1353.8</c:v>
                </c:pt>
                <c:pt idx="28">
                  <c:v>1232.3</c:v>
                </c:pt>
                <c:pt idx="29">
                  <c:v>1097.8499999999999</c:v>
                </c:pt>
                <c:pt idx="30">
                  <c:v>928.65</c:v>
                </c:pt>
                <c:pt idx="31">
                  <c:v>842.35</c:v>
                </c:pt>
                <c:pt idx="32">
                  <c:v>780.2</c:v>
                </c:pt>
                <c:pt idx="33">
                  <c:v>718.95</c:v>
                </c:pt>
                <c:pt idx="34">
                  <c:v>659</c:v>
                </c:pt>
                <c:pt idx="35">
                  <c:v>609.29999999999995</c:v>
                </c:pt>
                <c:pt idx="36">
                  <c:v>547.04999999999995</c:v>
                </c:pt>
                <c:pt idx="37">
                  <c:v>503.3</c:v>
                </c:pt>
                <c:pt idx="38">
                  <c:v>476</c:v>
                </c:pt>
                <c:pt idx="39">
                  <c:v>423.05</c:v>
                </c:pt>
                <c:pt idx="40">
                  <c:v>386.05</c:v>
                </c:pt>
                <c:pt idx="41">
                  <c:v>365.65</c:v>
                </c:pt>
                <c:pt idx="42">
                  <c:v>332.65</c:v>
                </c:pt>
                <c:pt idx="43">
                  <c:v>300.89999999999998</c:v>
                </c:pt>
                <c:pt idx="44">
                  <c:v>270.95</c:v>
                </c:pt>
                <c:pt idx="45">
                  <c:v>259.14999999999998</c:v>
                </c:pt>
                <c:pt idx="46">
                  <c:v>228.9</c:v>
                </c:pt>
                <c:pt idx="47">
                  <c:v>202.65</c:v>
                </c:pt>
                <c:pt idx="48">
                  <c:v>168.05</c:v>
                </c:pt>
                <c:pt idx="49">
                  <c:v>168.25</c:v>
                </c:pt>
                <c:pt idx="50">
                  <c:v>128.9</c:v>
                </c:pt>
                <c:pt idx="51">
                  <c:v>113</c:v>
                </c:pt>
                <c:pt idx="52">
                  <c:v>102.65</c:v>
                </c:pt>
                <c:pt idx="53">
                  <c:v>80.599999999999994</c:v>
                </c:pt>
                <c:pt idx="54">
                  <c:v>67.349999999999994</c:v>
                </c:pt>
                <c:pt idx="55">
                  <c:v>50.05</c:v>
                </c:pt>
                <c:pt idx="56">
                  <c:v>24.15</c:v>
                </c:pt>
                <c:pt idx="57">
                  <c:v>13.75</c:v>
                </c:pt>
                <c:pt idx="58">
                  <c:v>18.399999999999999</c:v>
                </c:pt>
                <c:pt idx="59">
                  <c:v>19.75</c:v>
                </c:pt>
                <c:pt idx="60">
                  <c:v>9.3000000000000007</c:v>
                </c:pt>
                <c:pt idx="61">
                  <c:v>-10.7</c:v>
                </c:pt>
                <c:pt idx="62">
                  <c:v>-20.3</c:v>
                </c:pt>
                <c:pt idx="63">
                  <c:v>-6.7</c:v>
                </c:pt>
                <c:pt idx="64">
                  <c:v>-12.75</c:v>
                </c:pt>
                <c:pt idx="65">
                  <c:v>-5.25</c:v>
                </c:pt>
                <c:pt idx="66">
                  <c:v>-24.4</c:v>
                </c:pt>
                <c:pt idx="67">
                  <c:v>-13.1</c:v>
                </c:pt>
                <c:pt idx="68">
                  <c:v>-0.2</c:v>
                </c:pt>
                <c:pt idx="69">
                  <c:v>7.35</c:v>
                </c:pt>
                <c:pt idx="70">
                  <c:v>7.95</c:v>
                </c:pt>
                <c:pt idx="71">
                  <c:v>16.8</c:v>
                </c:pt>
                <c:pt idx="72">
                  <c:v>13.85</c:v>
                </c:pt>
                <c:pt idx="73">
                  <c:v>13.9</c:v>
                </c:pt>
                <c:pt idx="74">
                  <c:v>12.25</c:v>
                </c:pt>
                <c:pt idx="75">
                  <c:v>16.399999999999999</c:v>
                </c:pt>
                <c:pt idx="76">
                  <c:v>11</c:v>
                </c:pt>
                <c:pt idx="77">
                  <c:v>12.05</c:v>
                </c:pt>
                <c:pt idx="78">
                  <c:v>9.3000000000000007</c:v>
                </c:pt>
                <c:pt idx="79">
                  <c:v>9.1999999999999993</c:v>
                </c:pt>
                <c:pt idx="80">
                  <c:v>9.8000000000000007</c:v>
                </c:pt>
                <c:pt idx="81">
                  <c:v>6.2</c:v>
                </c:pt>
                <c:pt idx="82">
                  <c:v>6.5</c:v>
                </c:pt>
                <c:pt idx="83">
                  <c:v>3.9</c:v>
                </c:pt>
                <c:pt idx="84">
                  <c:v>4.0999999999999996</c:v>
                </c:pt>
                <c:pt idx="85">
                  <c:v>5</c:v>
                </c:pt>
                <c:pt idx="86">
                  <c:v>1.5</c:v>
                </c:pt>
                <c:pt idx="87">
                  <c:v>0.95</c:v>
                </c:pt>
                <c:pt idx="88">
                  <c:v>2.95</c:v>
                </c:pt>
                <c:pt idx="89">
                  <c:v>-0.2</c:v>
                </c:pt>
                <c:pt idx="90">
                  <c:v>-0.2</c:v>
                </c:pt>
                <c:pt idx="91">
                  <c:v>0.85</c:v>
                </c:pt>
                <c:pt idx="92">
                  <c:v>-0.8</c:v>
                </c:pt>
                <c:pt idx="93">
                  <c:v>-0.35</c:v>
                </c:pt>
                <c:pt idx="94">
                  <c:v>-0.75</c:v>
                </c:pt>
                <c:pt idx="95">
                  <c:v>-0.35</c:v>
                </c:pt>
                <c:pt idx="96">
                  <c:v>-0.4</c:v>
                </c:pt>
                <c:pt idx="97">
                  <c:v>-0.55000000000000004</c:v>
                </c:pt>
                <c:pt idx="98">
                  <c:v>-0.05</c:v>
                </c:pt>
                <c:pt idx="99">
                  <c:v>0.1</c:v>
                </c:pt>
                <c:pt idx="100">
                  <c:v>-0.55000000000000004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9B-4B14-900E-5480EF9CB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327248"/>
        <c:axId val="811320032"/>
      </c:lineChart>
      <c:lineChart>
        <c:grouping val="standard"/>
        <c:varyColors val="0"/>
        <c:ser>
          <c:idx val="1"/>
          <c:order val="1"/>
          <c:tx>
            <c:v>average relative appr. error (scale right)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Personer1!$C$103:$CY$103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Personer1!$C$196:$CY$196</c:f>
              <c:numCache>
                <c:formatCode>General</c:formatCode>
                <c:ptCount val="101"/>
                <c:pt idx="0">
                  <c:v>6.1231387632352696</c:v>
                </c:pt>
                <c:pt idx="1">
                  <c:v>22.609535265645949</c:v>
                </c:pt>
                <c:pt idx="2">
                  <c:v>45.791300366300369</c:v>
                </c:pt>
                <c:pt idx="3">
                  <c:v>53.449752886002898</c:v>
                </c:pt>
                <c:pt idx="4">
                  <c:v>83.65786616161617</c:v>
                </c:pt>
                <c:pt idx="5">
                  <c:v>55.091666666666676</c:v>
                </c:pt>
                <c:pt idx="6">
                  <c:v>79.560514923672827</c:v>
                </c:pt>
                <c:pt idx="7">
                  <c:v>76.656192279942289</c:v>
                </c:pt>
                <c:pt idx="8">
                  <c:v>120.63499999999999</c:v>
                </c:pt>
                <c:pt idx="9">
                  <c:v>91.290343915343925</c:v>
                </c:pt>
                <c:pt idx="10">
                  <c:v>96.732797619047616</c:v>
                </c:pt>
                <c:pt idx="11">
                  <c:v>81.532326839826823</c:v>
                </c:pt>
                <c:pt idx="12">
                  <c:v>139.32325757575759</c:v>
                </c:pt>
                <c:pt idx="13">
                  <c:v>70.344457070707065</c:v>
                </c:pt>
                <c:pt idx="14">
                  <c:v>75.666469918969938</c:v>
                </c:pt>
                <c:pt idx="15">
                  <c:v>61.063158993784</c:v>
                </c:pt>
                <c:pt idx="16">
                  <c:v>50.035186186362658</c:v>
                </c:pt>
                <c:pt idx="17">
                  <c:v>37.861660819069556</c:v>
                </c:pt>
                <c:pt idx="18">
                  <c:v>24.032708960820518</c:v>
                </c:pt>
                <c:pt idx="19">
                  <c:v>22.308920821482737</c:v>
                </c:pt>
                <c:pt idx="20">
                  <c:v>26.0879976958695</c:v>
                </c:pt>
                <c:pt idx="21">
                  <c:v>30.112697152852782</c:v>
                </c:pt>
                <c:pt idx="22">
                  <c:v>40.631403025430075</c:v>
                </c:pt>
                <c:pt idx="23">
                  <c:v>42.412765523792231</c:v>
                </c:pt>
                <c:pt idx="24">
                  <c:v>53.888386688316302</c:v>
                </c:pt>
                <c:pt idx="25">
                  <c:v>49.482462937795454</c:v>
                </c:pt>
                <c:pt idx="26">
                  <c:v>47.584377890614888</c:v>
                </c:pt>
                <c:pt idx="27">
                  <c:v>38.184298871158163</c:v>
                </c:pt>
                <c:pt idx="28">
                  <c:v>36.20336357912295</c:v>
                </c:pt>
                <c:pt idx="29">
                  <c:v>31.572628384774863</c:v>
                </c:pt>
                <c:pt idx="30">
                  <c:v>27.664093672032369</c:v>
                </c:pt>
                <c:pt idx="31">
                  <c:v>25.640697734500588</c:v>
                </c:pt>
                <c:pt idx="32">
                  <c:v>20.624020489458751</c:v>
                </c:pt>
                <c:pt idx="33">
                  <c:v>18.428354700904546</c:v>
                </c:pt>
                <c:pt idx="34">
                  <c:v>16.286036370615868</c:v>
                </c:pt>
                <c:pt idx="35">
                  <c:v>14.87589229787768</c:v>
                </c:pt>
                <c:pt idx="36">
                  <c:v>12.003091271915483</c:v>
                </c:pt>
                <c:pt idx="37">
                  <c:v>10.209517028699347</c:v>
                </c:pt>
                <c:pt idx="38">
                  <c:v>9.3195445680365872</c:v>
                </c:pt>
                <c:pt idx="39">
                  <c:v>7.6505524689090976</c:v>
                </c:pt>
                <c:pt idx="40">
                  <c:v>6.5898235050972875</c:v>
                </c:pt>
                <c:pt idx="41">
                  <c:v>5.6091272258113563</c:v>
                </c:pt>
                <c:pt idx="42">
                  <c:v>4.8812704280345267</c:v>
                </c:pt>
                <c:pt idx="43">
                  <c:v>4.054226684914787</c:v>
                </c:pt>
                <c:pt idx="44">
                  <c:v>3.1965528739908047</c:v>
                </c:pt>
                <c:pt idx="45">
                  <c:v>2.9280748935169729</c:v>
                </c:pt>
                <c:pt idx="46">
                  <c:v>2.2903203257437719</c:v>
                </c:pt>
                <c:pt idx="47">
                  <c:v>1.909932541473778</c:v>
                </c:pt>
                <c:pt idx="48">
                  <c:v>1.4222854043303736</c:v>
                </c:pt>
                <c:pt idx="49">
                  <c:v>1.2630248125219796</c:v>
                </c:pt>
                <c:pt idx="50">
                  <c:v>0.89822732590317145</c:v>
                </c:pt>
                <c:pt idx="51">
                  <c:v>0.7245966731338942</c:v>
                </c:pt>
                <c:pt idx="52">
                  <c:v>0.60397325606387586</c:v>
                </c:pt>
                <c:pt idx="53">
                  <c:v>0.42187254115431416</c:v>
                </c:pt>
                <c:pt idx="54">
                  <c:v>0.32342664927898251</c:v>
                </c:pt>
                <c:pt idx="55">
                  <c:v>0.22259854693491571</c:v>
                </c:pt>
                <c:pt idx="56">
                  <c:v>0.10135813066719501</c:v>
                </c:pt>
                <c:pt idx="57">
                  <c:v>5.92964543001668E-2</c:v>
                </c:pt>
                <c:pt idx="58">
                  <c:v>7.2135076448011162E-2</c:v>
                </c:pt>
                <c:pt idx="59">
                  <c:v>6.5683291941929192E-2</c:v>
                </c:pt>
                <c:pt idx="60">
                  <c:v>3.5355485038078623E-2</c:v>
                </c:pt>
                <c:pt idx="61">
                  <c:v>-3.0963399517304362E-2</c:v>
                </c:pt>
                <c:pt idx="62">
                  <c:v>-5.045907591246681E-2</c:v>
                </c:pt>
                <c:pt idx="63">
                  <c:v>-2.0101040900627976E-2</c:v>
                </c:pt>
                <c:pt idx="64">
                  <c:v>-3.1533243560272393E-2</c:v>
                </c:pt>
                <c:pt idx="65">
                  <c:v>-1.2388932711097245E-2</c:v>
                </c:pt>
                <c:pt idx="66">
                  <c:v>-5.3242509102628108E-2</c:v>
                </c:pt>
                <c:pt idx="67">
                  <c:v>-2.5980794930950162E-2</c:v>
                </c:pt>
                <c:pt idx="68">
                  <c:v>-2.5238460784552789E-3</c:v>
                </c:pt>
                <c:pt idx="69">
                  <c:v>1.1182994757528132E-2</c:v>
                </c:pt>
                <c:pt idx="70">
                  <c:v>1.1106186930938918E-2</c:v>
                </c:pt>
                <c:pt idx="71">
                  <c:v>2.4397420938606494E-2</c:v>
                </c:pt>
                <c:pt idx="72">
                  <c:v>1.8452733730794035E-2</c:v>
                </c:pt>
                <c:pt idx="73">
                  <c:v>1.6849799425730817E-2</c:v>
                </c:pt>
                <c:pt idx="74">
                  <c:v>1.4203091837549068E-2</c:v>
                </c:pt>
                <c:pt idx="75">
                  <c:v>1.8195141644881195E-2</c:v>
                </c:pt>
                <c:pt idx="76">
                  <c:v>1.1808570070758185E-2</c:v>
                </c:pt>
                <c:pt idx="77">
                  <c:v>1.2421839239768402E-2</c:v>
                </c:pt>
                <c:pt idx="78">
                  <c:v>9.084946896457783E-3</c:v>
                </c:pt>
                <c:pt idx="79">
                  <c:v>8.7082719325676412E-3</c:v>
                </c:pt>
                <c:pt idx="80">
                  <c:v>8.554241057737666E-3</c:v>
                </c:pt>
                <c:pt idx="81">
                  <c:v>5.4252106271158503E-3</c:v>
                </c:pt>
                <c:pt idx="82">
                  <c:v>5.1992118258652751E-3</c:v>
                </c:pt>
                <c:pt idx="83">
                  <c:v>2.8331230882752299E-3</c:v>
                </c:pt>
                <c:pt idx="84">
                  <c:v>3.1096349063030508E-3</c:v>
                </c:pt>
                <c:pt idx="85">
                  <c:v>3.3136314013907887E-3</c:v>
                </c:pt>
                <c:pt idx="86">
                  <c:v>1.0248867194366975E-3</c:v>
                </c:pt>
                <c:pt idx="87">
                  <c:v>6.5749323630660134E-4</c:v>
                </c:pt>
                <c:pt idx="88">
                  <c:v>1.8173373449729964E-3</c:v>
                </c:pt>
                <c:pt idx="89">
                  <c:v>-1.3634795883972175E-4</c:v>
                </c:pt>
                <c:pt idx="90">
                  <c:v>-1.1857895476181211E-4</c:v>
                </c:pt>
                <c:pt idx="91">
                  <c:v>6.072568396680118E-4</c:v>
                </c:pt>
                <c:pt idx="92">
                  <c:v>-6.6773883246970544E-4</c:v>
                </c:pt>
                <c:pt idx="93">
                  <c:v>-3.6021668434739587E-4</c:v>
                </c:pt>
                <c:pt idx="94">
                  <c:v>-7.3188305233685589E-4</c:v>
                </c:pt>
                <c:pt idx="95">
                  <c:v>-5.7406486810713977E-4</c:v>
                </c:pt>
                <c:pt idx="96">
                  <c:v>-5.2004389324011488E-4</c:v>
                </c:pt>
                <c:pt idx="97">
                  <c:v>-1.286297506896756E-3</c:v>
                </c:pt>
                <c:pt idx="98">
                  <c:v>-2.535331472433897E-4</c:v>
                </c:pt>
                <c:pt idx="99">
                  <c:v>3.2963930478161553E-4</c:v>
                </c:pt>
                <c:pt idx="100">
                  <c:v>-3.3965745730930425E-3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9B-4B14-900E-5480EF9CB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746136"/>
        <c:axId val="494745152"/>
      </c:lineChart>
      <c:catAx>
        <c:axId val="81132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20032"/>
        <c:crossesAt val="-5.000000000000001E-3"/>
        <c:auto val="1"/>
        <c:lblAlgn val="ctr"/>
        <c:lblOffset val="100"/>
        <c:tickLblSkip val="5"/>
        <c:tickMarkSkip val="5"/>
        <c:noMultiLvlLbl val="0"/>
      </c:catAx>
      <c:valAx>
        <c:axId val="81132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27248"/>
        <c:crosses val="autoZero"/>
        <c:crossBetween val="between"/>
      </c:valAx>
      <c:valAx>
        <c:axId val="4947451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46136"/>
        <c:crosses val="max"/>
        <c:crossBetween val="between"/>
        <c:majorUnit val="20"/>
      </c:valAx>
      <c:catAx>
        <c:axId val="494746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4745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2488205855297023"/>
          <c:y val="0.2638888888888889"/>
          <c:w val="0.47475166890312342"/>
          <c:h val="0.14294036162146398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Approximation errors for net migration - </a:t>
            </a:r>
            <a:endParaRPr lang="en-GB" sz="1000" baseline="0"/>
          </a:p>
          <a:p>
            <a:pPr>
              <a:defRPr/>
            </a:pPr>
            <a:r>
              <a:rPr lang="en-GB" sz="1000" baseline="0"/>
              <a:t>averages for the period 2003-2022</a:t>
            </a:r>
            <a:endParaRPr lang="en-GB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40069991251094"/>
          <c:y val="0.23553295421405657"/>
          <c:w val="0.76968503937007871"/>
          <c:h val="0.64459098862642172"/>
        </c:manualLayout>
      </c:layout>
      <c:lineChart>
        <c:grouping val="standard"/>
        <c:varyColors val="0"/>
        <c:ser>
          <c:idx val="0"/>
          <c:order val="1"/>
          <c:tx>
            <c:v>average appr. error (scale left)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Personer1!$C$103:$CY$103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Personer1!$C$172:$CY$172</c:f>
              <c:numCache>
                <c:formatCode>General</c:formatCode>
                <c:ptCount val="101"/>
                <c:pt idx="0">
                  <c:v>68.95</c:v>
                </c:pt>
                <c:pt idx="1">
                  <c:v>10.15</c:v>
                </c:pt>
                <c:pt idx="2">
                  <c:v>3.8</c:v>
                </c:pt>
                <c:pt idx="3">
                  <c:v>8.0500000000000007</c:v>
                </c:pt>
                <c:pt idx="4">
                  <c:v>12.9</c:v>
                </c:pt>
                <c:pt idx="5">
                  <c:v>7.85</c:v>
                </c:pt>
                <c:pt idx="6">
                  <c:v>6.2</c:v>
                </c:pt>
                <c:pt idx="7">
                  <c:v>8.1999999999999993</c:v>
                </c:pt>
                <c:pt idx="8">
                  <c:v>6.5</c:v>
                </c:pt>
                <c:pt idx="9">
                  <c:v>6.25</c:v>
                </c:pt>
                <c:pt idx="10">
                  <c:v>6.35</c:v>
                </c:pt>
                <c:pt idx="11">
                  <c:v>6.85</c:v>
                </c:pt>
                <c:pt idx="12">
                  <c:v>5.45</c:v>
                </c:pt>
                <c:pt idx="13">
                  <c:v>7.1</c:v>
                </c:pt>
                <c:pt idx="14">
                  <c:v>13</c:v>
                </c:pt>
                <c:pt idx="15">
                  <c:v>10.55</c:v>
                </c:pt>
                <c:pt idx="16">
                  <c:v>8.85</c:v>
                </c:pt>
                <c:pt idx="17">
                  <c:v>-6.8</c:v>
                </c:pt>
                <c:pt idx="18">
                  <c:v>10.75</c:v>
                </c:pt>
                <c:pt idx="19">
                  <c:v>23.5</c:v>
                </c:pt>
                <c:pt idx="20">
                  <c:v>5.4</c:v>
                </c:pt>
                <c:pt idx="21">
                  <c:v>17.05</c:v>
                </c:pt>
                <c:pt idx="22">
                  <c:v>13.35</c:v>
                </c:pt>
                <c:pt idx="23">
                  <c:v>10.050000000000001</c:v>
                </c:pt>
                <c:pt idx="24">
                  <c:v>15.55</c:v>
                </c:pt>
                <c:pt idx="25">
                  <c:v>21.15</c:v>
                </c:pt>
                <c:pt idx="26">
                  <c:v>26.5</c:v>
                </c:pt>
                <c:pt idx="27">
                  <c:v>34.299999999999997</c:v>
                </c:pt>
                <c:pt idx="28">
                  <c:v>36.6</c:v>
                </c:pt>
                <c:pt idx="29">
                  <c:v>34.299999999999997</c:v>
                </c:pt>
                <c:pt idx="30">
                  <c:v>41.45</c:v>
                </c:pt>
                <c:pt idx="31">
                  <c:v>62.35</c:v>
                </c:pt>
                <c:pt idx="32">
                  <c:v>64.75</c:v>
                </c:pt>
                <c:pt idx="33">
                  <c:v>48.15</c:v>
                </c:pt>
                <c:pt idx="34">
                  <c:v>52.35</c:v>
                </c:pt>
                <c:pt idx="35" formatCode="0.0">
                  <c:v>54.45</c:v>
                </c:pt>
                <c:pt idx="36">
                  <c:v>54.25</c:v>
                </c:pt>
                <c:pt idx="37">
                  <c:v>60.4</c:v>
                </c:pt>
                <c:pt idx="38">
                  <c:v>64.650000000000006</c:v>
                </c:pt>
                <c:pt idx="39">
                  <c:v>63.05</c:v>
                </c:pt>
                <c:pt idx="40">
                  <c:v>70.150000000000006</c:v>
                </c:pt>
                <c:pt idx="41">
                  <c:v>69.599999999999994</c:v>
                </c:pt>
                <c:pt idx="42">
                  <c:v>85</c:v>
                </c:pt>
                <c:pt idx="43">
                  <c:v>84.05</c:v>
                </c:pt>
                <c:pt idx="44">
                  <c:v>91.85</c:v>
                </c:pt>
                <c:pt idx="45">
                  <c:v>100.55</c:v>
                </c:pt>
                <c:pt idx="46">
                  <c:v>109.7</c:v>
                </c:pt>
                <c:pt idx="47">
                  <c:v>117.3</c:v>
                </c:pt>
                <c:pt idx="48">
                  <c:v>139.1</c:v>
                </c:pt>
                <c:pt idx="49">
                  <c:v>143.9</c:v>
                </c:pt>
                <c:pt idx="50">
                  <c:v>160.30000000000001</c:v>
                </c:pt>
                <c:pt idx="51">
                  <c:v>170.3</c:v>
                </c:pt>
                <c:pt idx="52">
                  <c:v>186.15</c:v>
                </c:pt>
                <c:pt idx="53">
                  <c:v>204</c:v>
                </c:pt>
                <c:pt idx="54">
                  <c:v>220.95</c:v>
                </c:pt>
                <c:pt idx="55">
                  <c:v>243.25</c:v>
                </c:pt>
                <c:pt idx="56">
                  <c:v>259.3</c:v>
                </c:pt>
                <c:pt idx="57">
                  <c:v>280.5</c:v>
                </c:pt>
                <c:pt idx="58">
                  <c:v>302.95</c:v>
                </c:pt>
                <c:pt idx="59">
                  <c:v>335.25</c:v>
                </c:pt>
                <c:pt idx="60">
                  <c:v>349.6</c:v>
                </c:pt>
                <c:pt idx="61">
                  <c:v>381.4</c:v>
                </c:pt>
                <c:pt idx="62">
                  <c:v>412.35</c:v>
                </c:pt>
                <c:pt idx="63">
                  <c:v>431.35</c:v>
                </c:pt>
                <c:pt idx="64">
                  <c:v>465.2</c:v>
                </c:pt>
                <c:pt idx="65">
                  <c:v>492.3</c:v>
                </c:pt>
                <c:pt idx="66">
                  <c:v>531.95000000000005</c:v>
                </c:pt>
                <c:pt idx="67">
                  <c:v>549.75</c:v>
                </c:pt>
                <c:pt idx="68">
                  <c:v>591.9</c:v>
                </c:pt>
                <c:pt idx="69">
                  <c:v>606</c:v>
                </c:pt>
                <c:pt idx="70">
                  <c:v>652.6</c:v>
                </c:pt>
                <c:pt idx="71">
                  <c:v>707</c:v>
                </c:pt>
                <c:pt idx="72">
                  <c:v>747.7</c:v>
                </c:pt>
                <c:pt idx="73">
                  <c:v>799.9</c:v>
                </c:pt>
                <c:pt idx="74">
                  <c:v>848.15</c:v>
                </c:pt>
                <c:pt idx="75">
                  <c:v>902.45</c:v>
                </c:pt>
                <c:pt idx="76">
                  <c:v>950.6</c:v>
                </c:pt>
                <c:pt idx="77">
                  <c:v>1019.7</c:v>
                </c:pt>
                <c:pt idx="78">
                  <c:v>1086.45</c:v>
                </c:pt>
                <c:pt idx="79">
                  <c:v>1158.2</c:v>
                </c:pt>
                <c:pt idx="80">
                  <c:v>1253.4000000000001</c:v>
                </c:pt>
                <c:pt idx="81">
                  <c:v>1330.2</c:v>
                </c:pt>
                <c:pt idx="82">
                  <c:v>1437.65</c:v>
                </c:pt>
                <c:pt idx="83">
                  <c:v>1497.35</c:v>
                </c:pt>
                <c:pt idx="84">
                  <c:v>1552.65</c:v>
                </c:pt>
                <c:pt idx="85">
                  <c:v>1597.1</c:v>
                </c:pt>
                <c:pt idx="86">
                  <c:v>1627.25</c:v>
                </c:pt>
                <c:pt idx="87">
                  <c:v>1620.3</c:v>
                </c:pt>
                <c:pt idx="88">
                  <c:v>1588.75</c:v>
                </c:pt>
                <c:pt idx="89">
                  <c:v>1564.75</c:v>
                </c:pt>
                <c:pt idx="90">
                  <c:v>1452.15</c:v>
                </c:pt>
                <c:pt idx="91">
                  <c:v>1337.45</c:v>
                </c:pt>
                <c:pt idx="92">
                  <c:v>1174.95</c:v>
                </c:pt>
                <c:pt idx="93">
                  <c:v>1026.75</c:v>
                </c:pt>
                <c:pt idx="94">
                  <c:v>847.85</c:v>
                </c:pt>
                <c:pt idx="95">
                  <c:v>695.4</c:v>
                </c:pt>
                <c:pt idx="96">
                  <c:v>539.70000000000005</c:v>
                </c:pt>
                <c:pt idx="97">
                  <c:v>400.45</c:v>
                </c:pt>
                <c:pt idx="98">
                  <c:v>274.10000000000002</c:v>
                </c:pt>
                <c:pt idx="99">
                  <c:v>195.1</c:v>
                </c:pt>
                <c:pt idx="100">
                  <c:v>127.95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D-4778-990D-A7439FFF7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327248"/>
        <c:axId val="811320032"/>
      </c:lineChart>
      <c:lineChart>
        <c:grouping val="standard"/>
        <c:varyColors val="0"/>
        <c:ser>
          <c:idx val="1"/>
          <c:order val="0"/>
          <c:tx>
            <c:v>average relative appr. error (scale right)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Personer1!$C$103:$CY$103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Personer1!$C$220:$CY$220</c:f>
              <c:numCache>
                <c:formatCode>General</c:formatCode>
                <c:ptCount val="101"/>
                <c:pt idx="0">
                  <c:v>0.16766302208518619</c:v>
                </c:pt>
                <c:pt idx="1">
                  <c:v>9.9704546251662991E-3</c:v>
                </c:pt>
                <c:pt idx="2">
                  <c:v>-6.9500600029794319E-3</c:v>
                </c:pt>
                <c:pt idx="3">
                  <c:v>5.5797257965881905E-2</c:v>
                </c:pt>
                <c:pt idx="4">
                  <c:v>0.16246684472493589</c:v>
                </c:pt>
                <c:pt idx="5">
                  <c:v>4.346257756486472E-2</c:v>
                </c:pt>
                <c:pt idx="6">
                  <c:v>5.913195129972959E-2</c:v>
                </c:pt>
                <c:pt idx="7">
                  <c:v>3.0434847634254809E-2</c:v>
                </c:pt>
                <c:pt idx="8">
                  <c:v>3.5618126703911665E-2</c:v>
                </c:pt>
                <c:pt idx="9">
                  <c:v>2.4060315814902741E-2</c:v>
                </c:pt>
                <c:pt idx="10">
                  <c:v>2.8816873259514798E-2</c:v>
                </c:pt>
                <c:pt idx="11">
                  <c:v>2.4510385028921475E-2</c:v>
                </c:pt>
                <c:pt idx="12">
                  <c:v>1.7822872145691171E-2</c:v>
                </c:pt>
                <c:pt idx="13">
                  <c:v>2.542872419029003E-2</c:v>
                </c:pt>
                <c:pt idx="14">
                  <c:v>4.4064147664939969E-2</c:v>
                </c:pt>
                <c:pt idx="15">
                  <c:v>3.6722442124879837E-2</c:v>
                </c:pt>
                <c:pt idx="16">
                  <c:v>2.2913870685181466E-2</c:v>
                </c:pt>
                <c:pt idx="17">
                  <c:v>-3.3024236394442255E-2</c:v>
                </c:pt>
                <c:pt idx="18">
                  <c:v>2.2753904653361266E-2</c:v>
                </c:pt>
                <c:pt idx="19">
                  <c:v>6.930032976292233E-2</c:v>
                </c:pt>
                <c:pt idx="20">
                  <c:v>2.0956244108986357E-2</c:v>
                </c:pt>
                <c:pt idx="21">
                  <c:v>4.0334865380765167E-2</c:v>
                </c:pt>
                <c:pt idx="22">
                  <c:v>1.9224341203324516E-2</c:v>
                </c:pt>
                <c:pt idx="23">
                  <c:v>7.1596661200490682E-3</c:v>
                </c:pt>
                <c:pt idx="24">
                  <c:v>1.8247298803659346E-2</c:v>
                </c:pt>
                <c:pt idx="25">
                  <c:v>1.9519148976446216E-2</c:v>
                </c:pt>
                <c:pt idx="26">
                  <c:v>2.3456914133456609E-2</c:v>
                </c:pt>
                <c:pt idx="27">
                  <c:v>3.1825894584522695E-2</c:v>
                </c:pt>
                <c:pt idx="28">
                  <c:v>3.3794330233842318E-2</c:v>
                </c:pt>
                <c:pt idx="29">
                  <c:v>3.4375240951454694E-2</c:v>
                </c:pt>
                <c:pt idx="30">
                  <c:v>4.9749128567336688E-2</c:v>
                </c:pt>
                <c:pt idx="31">
                  <c:v>9.1770421485141737E-2</c:v>
                </c:pt>
                <c:pt idx="32">
                  <c:v>0.1019436864654989</c:v>
                </c:pt>
                <c:pt idx="33">
                  <c:v>9.514853118931571E-2</c:v>
                </c:pt>
                <c:pt idx="34">
                  <c:v>0.10095091572106256</c:v>
                </c:pt>
                <c:pt idx="35">
                  <c:v>0.12210386812519398</c:v>
                </c:pt>
                <c:pt idx="36">
                  <c:v>0.15395665795338032</c:v>
                </c:pt>
                <c:pt idx="37">
                  <c:v>0.17313887685344487</c:v>
                </c:pt>
                <c:pt idx="38">
                  <c:v>0.18753136608251714</c:v>
                </c:pt>
                <c:pt idx="39">
                  <c:v>0.19368732866807573</c:v>
                </c:pt>
                <c:pt idx="40">
                  <c:v>0.27118649657412336</c:v>
                </c:pt>
                <c:pt idx="41">
                  <c:v>0.29396565190213264</c:v>
                </c:pt>
                <c:pt idx="42">
                  <c:v>0.38007344285520928</c:v>
                </c:pt>
                <c:pt idx="43">
                  <c:v>0.34485191071074678</c:v>
                </c:pt>
                <c:pt idx="44">
                  <c:v>0.45925537348298573</c:v>
                </c:pt>
                <c:pt idx="46">
                  <c:v>0.66808694050477058</c:v>
                </c:pt>
                <c:pt idx="47">
                  <c:v>0.84604070690164068</c:v>
                </c:pt>
                <c:pt idx="48">
                  <c:v>1.1847330903351752</c:v>
                </c:pt>
                <c:pt idx="49">
                  <c:v>1.4367626269975207</c:v>
                </c:pt>
                <c:pt idx="50">
                  <c:v>1.9464333246430265</c:v>
                </c:pt>
                <c:pt idx="51">
                  <c:v>-1.2477794089585443</c:v>
                </c:pt>
                <c:pt idx="52">
                  <c:v>1.1620085960212525</c:v>
                </c:pt>
                <c:pt idx="53">
                  <c:v>0.68316714530769285</c:v>
                </c:pt>
                <c:pt idx="54">
                  <c:v>5.353216243605706</c:v>
                </c:pt>
                <c:pt idx="55">
                  <c:v>-0.50255216329574293</c:v>
                </c:pt>
                <c:pt idx="56">
                  <c:v>1.5286415180733486</c:v>
                </c:pt>
                <c:pt idx="57">
                  <c:v>6.4081502176509684</c:v>
                </c:pt>
                <c:pt idx="58">
                  <c:v>6.5143516158450196E-2</c:v>
                </c:pt>
                <c:pt idx="59">
                  <c:v>-1.8407504809997963</c:v>
                </c:pt>
                <c:pt idx="60">
                  <c:v>-0.17150333417554187</c:v>
                </c:pt>
                <c:pt idx="61">
                  <c:v>-8.6464837556024108</c:v>
                </c:pt>
                <c:pt idx="62">
                  <c:v>-10.527085825350978</c:v>
                </c:pt>
                <c:pt idx="63">
                  <c:v>-24.330922084796562</c:v>
                </c:pt>
                <c:pt idx="64">
                  <c:v>-1.8890828148994199</c:v>
                </c:pt>
                <c:pt idx="65">
                  <c:v>-19.617660976471932</c:v>
                </c:pt>
                <c:pt idx="66">
                  <c:v>-32.806963725886988</c:v>
                </c:pt>
                <c:pt idx="67">
                  <c:v>-50.443474172829909</c:v>
                </c:pt>
                <c:pt idx="68">
                  <c:v>-54.418360900986933</c:v>
                </c:pt>
                <c:pt idx="69">
                  <c:v>7.7050173394482071</c:v>
                </c:pt>
                <c:pt idx="70">
                  <c:v>-50.361032678070721</c:v>
                </c:pt>
                <c:pt idx="71">
                  <c:v>49.402031913038392</c:v>
                </c:pt>
                <c:pt idx="72">
                  <c:v>132.86913903850919</c:v>
                </c:pt>
                <c:pt idx="73">
                  <c:v>23.597019239157095</c:v>
                </c:pt>
                <c:pt idx="74">
                  <c:v>67.35533661102626</c:v>
                </c:pt>
                <c:pt idx="75">
                  <c:v>62.426261125945715</c:v>
                </c:pt>
                <c:pt idx="76">
                  <c:v>108.24721618342278</c:v>
                </c:pt>
                <c:pt idx="77">
                  <c:v>109.75130746288085</c:v>
                </c:pt>
                <c:pt idx="78">
                  <c:v>33.737651012466578</c:v>
                </c:pt>
                <c:pt idx="79">
                  <c:v>57.056828329622441</c:v>
                </c:pt>
                <c:pt idx="80">
                  <c:v>305.87997243769297</c:v>
                </c:pt>
                <c:pt idx="81">
                  <c:v>207.20456983805667</c:v>
                </c:pt>
                <c:pt idx="82">
                  <c:v>-61.651826414326415</c:v>
                </c:pt>
                <c:pt idx="83">
                  <c:v>84.43208215050322</c:v>
                </c:pt>
                <c:pt idx="84">
                  <c:v>514.04784090909084</c:v>
                </c:pt>
                <c:pt idx="85">
                  <c:v>32.738946007696001</c:v>
                </c:pt>
                <c:pt idx="86">
                  <c:v>186.91908704830905</c:v>
                </c:pt>
                <c:pt idx="87">
                  <c:v>213.43623560535323</c:v>
                </c:pt>
                <c:pt idx="88">
                  <c:v>423.7157894736842</c:v>
                </c:pt>
                <c:pt idx="89">
                  <c:v>275.85434173669472</c:v>
                </c:pt>
                <c:pt idx="90">
                  <c:v>165.66666666666666</c:v>
                </c:pt>
                <c:pt idx="91">
                  <c:v>-123.14803921568628</c:v>
                </c:pt>
                <c:pt idx="92">
                  <c:v>-143.15740740740739</c:v>
                </c:pt>
                <c:pt idx="93">
                  <c:v>-232.00937499999998</c:v>
                </c:pt>
                <c:pt idx="94">
                  <c:v>67.770833333333329</c:v>
                </c:pt>
                <c:pt idx="95">
                  <c:v>-157.80952380952382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FD-4778-990D-A7439FFF7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768968"/>
        <c:axId val="492770936"/>
      </c:lineChart>
      <c:catAx>
        <c:axId val="81132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20032"/>
        <c:crossesAt val="-5.000000000000001E-3"/>
        <c:auto val="1"/>
        <c:lblAlgn val="ctr"/>
        <c:lblOffset val="100"/>
        <c:tickLblSkip val="5"/>
        <c:tickMarkSkip val="5"/>
        <c:noMultiLvlLbl val="0"/>
      </c:catAx>
      <c:valAx>
        <c:axId val="811320032"/>
        <c:scaling>
          <c:orientation val="minMax"/>
          <c:max val="1800"/>
          <c:min val="-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27248"/>
        <c:crosses val="autoZero"/>
        <c:crossBetween val="between"/>
        <c:majorUnit val="300"/>
      </c:valAx>
      <c:valAx>
        <c:axId val="4927709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68968"/>
        <c:crosses val="max"/>
        <c:crossBetween val="between"/>
      </c:valAx>
      <c:catAx>
        <c:axId val="492768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2770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8908355908887595"/>
          <c:y val="0.31481481481481483"/>
          <c:w val="0.47475166890312342"/>
          <c:h val="0.14294036162146398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Approximation errors for net migration - </a:t>
            </a:r>
            <a:endParaRPr lang="en-GB" sz="1000" baseline="0"/>
          </a:p>
          <a:p>
            <a:pPr>
              <a:defRPr/>
            </a:pPr>
            <a:r>
              <a:rPr lang="en-GB" sz="1000" baseline="0"/>
              <a:t>averages for the period 2003-2022</a:t>
            </a:r>
            <a:endParaRPr lang="en-GB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40069991251094"/>
          <c:y val="0.23553295421405657"/>
          <c:w val="0.76968503937007871"/>
          <c:h val="0.64459098862642172"/>
        </c:manualLayout>
      </c:layout>
      <c:lineChart>
        <c:grouping val="standard"/>
        <c:varyColors val="0"/>
        <c:ser>
          <c:idx val="0"/>
          <c:order val="1"/>
          <c:tx>
            <c:v>average appr. error (scale left)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Personer1!$C$103:$BA$103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Personer1!$C$172:$BA$172</c:f>
              <c:numCache>
                <c:formatCode>General</c:formatCode>
                <c:ptCount val="51"/>
                <c:pt idx="0">
                  <c:v>68.95</c:v>
                </c:pt>
                <c:pt idx="1">
                  <c:v>10.15</c:v>
                </c:pt>
                <c:pt idx="2">
                  <c:v>3.8</c:v>
                </c:pt>
                <c:pt idx="3">
                  <c:v>8.0500000000000007</c:v>
                </c:pt>
                <c:pt idx="4">
                  <c:v>12.9</c:v>
                </c:pt>
                <c:pt idx="5">
                  <c:v>7.85</c:v>
                </c:pt>
                <c:pt idx="6">
                  <c:v>6.2</c:v>
                </c:pt>
                <c:pt idx="7">
                  <c:v>8.1999999999999993</c:v>
                </c:pt>
                <c:pt idx="8">
                  <c:v>6.5</c:v>
                </c:pt>
                <c:pt idx="9">
                  <c:v>6.25</c:v>
                </c:pt>
                <c:pt idx="10">
                  <c:v>6.35</c:v>
                </c:pt>
                <c:pt idx="11">
                  <c:v>6.85</c:v>
                </c:pt>
                <c:pt idx="12">
                  <c:v>5.45</c:v>
                </c:pt>
                <c:pt idx="13">
                  <c:v>7.1</c:v>
                </c:pt>
                <c:pt idx="14">
                  <c:v>13</c:v>
                </c:pt>
                <c:pt idx="15">
                  <c:v>10.55</c:v>
                </c:pt>
                <c:pt idx="16">
                  <c:v>8.85</c:v>
                </c:pt>
                <c:pt idx="17">
                  <c:v>-6.8</c:v>
                </c:pt>
                <c:pt idx="18">
                  <c:v>10.75</c:v>
                </c:pt>
                <c:pt idx="19">
                  <c:v>23.5</c:v>
                </c:pt>
                <c:pt idx="20">
                  <c:v>5.4</c:v>
                </c:pt>
                <c:pt idx="21">
                  <c:v>17.05</c:v>
                </c:pt>
                <c:pt idx="22">
                  <c:v>13.35</c:v>
                </c:pt>
                <c:pt idx="23">
                  <c:v>10.050000000000001</c:v>
                </c:pt>
                <c:pt idx="24">
                  <c:v>15.55</c:v>
                </c:pt>
                <c:pt idx="25">
                  <c:v>21.15</c:v>
                </c:pt>
                <c:pt idx="26">
                  <c:v>26.5</c:v>
                </c:pt>
                <c:pt idx="27">
                  <c:v>34.299999999999997</c:v>
                </c:pt>
                <c:pt idx="28">
                  <c:v>36.6</c:v>
                </c:pt>
                <c:pt idx="29">
                  <c:v>34.299999999999997</c:v>
                </c:pt>
                <c:pt idx="30">
                  <c:v>41.45</c:v>
                </c:pt>
                <c:pt idx="31">
                  <c:v>62.35</c:v>
                </c:pt>
                <c:pt idx="32">
                  <c:v>64.75</c:v>
                </c:pt>
                <c:pt idx="33">
                  <c:v>48.15</c:v>
                </c:pt>
                <c:pt idx="34">
                  <c:v>52.35</c:v>
                </c:pt>
                <c:pt idx="35" formatCode="0.0">
                  <c:v>54.45</c:v>
                </c:pt>
                <c:pt idx="36">
                  <c:v>54.25</c:v>
                </c:pt>
                <c:pt idx="37">
                  <c:v>60.4</c:v>
                </c:pt>
                <c:pt idx="38">
                  <c:v>64.650000000000006</c:v>
                </c:pt>
                <c:pt idx="39">
                  <c:v>63.05</c:v>
                </c:pt>
                <c:pt idx="40">
                  <c:v>70.150000000000006</c:v>
                </c:pt>
                <c:pt idx="41">
                  <c:v>69.599999999999994</c:v>
                </c:pt>
                <c:pt idx="42">
                  <c:v>85</c:v>
                </c:pt>
                <c:pt idx="43">
                  <c:v>84.05</c:v>
                </c:pt>
                <c:pt idx="44">
                  <c:v>91.85</c:v>
                </c:pt>
                <c:pt idx="45">
                  <c:v>100.55</c:v>
                </c:pt>
                <c:pt idx="46">
                  <c:v>109.7</c:v>
                </c:pt>
                <c:pt idx="47">
                  <c:v>117.3</c:v>
                </c:pt>
                <c:pt idx="48">
                  <c:v>139.1</c:v>
                </c:pt>
                <c:pt idx="49">
                  <c:v>143.9</c:v>
                </c:pt>
                <c:pt idx="50">
                  <c:v>160.30000000000001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4-47A4-80A8-E919097E7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327248"/>
        <c:axId val="811320032"/>
      </c:lineChart>
      <c:lineChart>
        <c:grouping val="standard"/>
        <c:varyColors val="0"/>
        <c:ser>
          <c:idx val="1"/>
          <c:order val="0"/>
          <c:tx>
            <c:v>average relative appr. error (scale right)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Personer1!$C$103:$BA$103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cat>
          <c:val>
            <c:numRef>
              <c:f>Personer1!$C$220:$BA$220</c:f>
              <c:numCache>
                <c:formatCode>General</c:formatCode>
                <c:ptCount val="51"/>
                <c:pt idx="0">
                  <c:v>0.16766302208518619</c:v>
                </c:pt>
                <c:pt idx="1">
                  <c:v>9.9704546251662991E-3</c:v>
                </c:pt>
                <c:pt idx="2">
                  <c:v>-6.9500600029794319E-3</c:v>
                </c:pt>
                <c:pt idx="3">
                  <c:v>5.5797257965881905E-2</c:v>
                </c:pt>
                <c:pt idx="4">
                  <c:v>0.16246684472493589</c:v>
                </c:pt>
                <c:pt idx="5">
                  <c:v>4.346257756486472E-2</c:v>
                </c:pt>
                <c:pt idx="6">
                  <c:v>5.913195129972959E-2</c:v>
                </c:pt>
                <c:pt idx="7">
                  <c:v>3.0434847634254809E-2</c:v>
                </c:pt>
                <c:pt idx="8">
                  <c:v>3.5618126703911665E-2</c:v>
                </c:pt>
                <c:pt idx="9">
                  <c:v>2.4060315814902741E-2</c:v>
                </c:pt>
                <c:pt idx="10">
                  <c:v>2.8816873259514798E-2</c:v>
                </c:pt>
                <c:pt idx="11">
                  <c:v>2.4510385028921475E-2</c:v>
                </c:pt>
                <c:pt idx="12">
                  <c:v>1.7822872145691171E-2</c:v>
                </c:pt>
                <c:pt idx="13">
                  <c:v>2.542872419029003E-2</c:v>
                </c:pt>
                <c:pt idx="14">
                  <c:v>4.4064147664939969E-2</c:v>
                </c:pt>
                <c:pt idx="15">
                  <c:v>3.6722442124879837E-2</c:v>
                </c:pt>
                <c:pt idx="16">
                  <c:v>2.2913870685181466E-2</c:v>
                </c:pt>
                <c:pt idx="17">
                  <c:v>-3.3024236394442255E-2</c:v>
                </c:pt>
                <c:pt idx="18">
                  <c:v>2.2753904653361266E-2</c:v>
                </c:pt>
                <c:pt idx="19">
                  <c:v>6.930032976292233E-2</c:v>
                </c:pt>
                <c:pt idx="20">
                  <c:v>2.0956244108986357E-2</c:v>
                </c:pt>
                <c:pt idx="21">
                  <c:v>4.0334865380765167E-2</c:v>
                </c:pt>
                <c:pt idx="22">
                  <c:v>1.9224341203324516E-2</c:v>
                </c:pt>
                <c:pt idx="23">
                  <c:v>7.1596661200490682E-3</c:v>
                </c:pt>
                <c:pt idx="24">
                  <c:v>1.8247298803659346E-2</c:v>
                </c:pt>
                <c:pt idx="25">
                  <c:v>1.9519148976446216E-2</c:v>
                </c:pt>
                <c:pt idx="26">
                  <c:v>2.3456914133456609E-2</c:v>
                </c:pt>
                <c:pt idx="27">
                  <c:v>3.1825894584522695E-2</c:v>
                </c:pt>
                <c:pt idx="28">
                  <c:v>3.3794330233842318E-2</c:v>
                </c:pt>
                <c:pt idx="29">
                  <c:v>3.4375240951454694E-2</c:v>
                </c:pt>
                <c:pt idx="30">
                  <c:v>4.9749128567336688E-2</c:v>
                </c:pt>
                <c:pt idx="31">
                  <c:v>9.1770421485141737E-2</c:v>
                </c:pt>
                <c:pt idx="32">
                  <c:v>0.1019436864654989</c:v>
                </c:pt>
                <c:pt idx="33">
                  <c:v>9.514853118931571E-2</c:v>
                </c:pt>
                <c:pt idx="34">
                  <c:v>0.10095091572106256</c:v>
                </c:pt>
                <c:pt idx="35">
                  <c:v>0.12210386812519398</c:v>
                </c:pt>
                <c:pt idx="36">
                  <c:v>0.15395665795338032</c:v>
                </c:pt>
                <c:pt idx="37">
                  <c:v>0.17313887685344487</c:v>
                </c:pt>
                <c:pt idx="38">
                  <c:v>0.18753136608251714</c:v>
                </c:pt>
                <c:pt idx="39">
                  <c:v>0.19368732866807573</c:v>
                </c:pt>
                <c:pt idx="40">
                  <c:v>0.27118649657412336</c:v>
                </c:pt>
                <c:pt idx="41">
                  <c:v>0.29396565190213264</c:v>
                </c:pt>
                <c:pt idx="42">
                  <c:v>0.38007344285520928</c:v>
                </c:pt>
                <c:pt idx="43">
                  <c:v>0.34485191071074678</c:v>
                </c:pt>
                <c:pt idx="44">
                  <c:v>0.45925537348298573</c:v>
                </c:pt>
                <c:pt idx="46">
                  <c:v>0.66808694050477058</c:v>
                </c:pt>
                <c:pt idx="47">
                  <c:v>0.84604070690164068</c:v>
                </c:pt>
                <c:pt idx="48">
                  <c:v>1.1847330903351752</c:v>
                </c:pt>
                <c:pt idx="49">
                  <c:v>1.4367626269975207</c:v>
                </c:pt>
                <c:pt idx="50">
                  <c:v>1.9464333246430265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A4-47A4-80A8-E919097E7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768968"/>
        <c:axId val="492770936"/>
      </c:lineChart>
      <c:catAx>
        <c:axId val="81132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20032"/>
        <c:crossesAt val="-5.000000000000001E-3"/>
        <c:auto val="1"/>
        <c:lblAlgn val="ctr"/>
        <c:lblOffset val="100"/>
        <c:tickLblSkip val="5"/>
        <c:tickMarkSkip val="5"/>
        <c:noMultiLvlLbl val="0"/>
      </c:catAx>
      <c:valAx>
        <c:axId val="811320032"/>
        <c:scaling>
          <c:orientation val="minMax"/>
          <c:max val="200"/>
          <c:min val="-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27248"/>
        <c:crosses val="autoZero"/>
        <c:crossBetween val="between"/>
        <c:majorUnit val="50"/>
      </c:valAx>
      <c:valAx>
        <c:axId val="492770936"/>
        <c:scaling>
          <c:orientation val="minMax"/>
          <c:max val="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68968"/>
        <c:crosses val="max"/>
        <c:crossBetween val="between"/>
      </c:valAx>
      <c:catAx>
        <c:axId val="492768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2770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2391742832788988"/>
          <c:y val="0.25925925925925924"/>
          <c:w val="0.47475166890312342"/>
          <c:h val="0.14294036162146398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Approximation errors for net migration - </a:t>
            </a:r>
            <a:endParaRPr lang="en-GB" sz="1000" baseline="0"/>
          </a:p>
          <a:p>
            <a:pPr>
              <a:defRPr/>
            </a:pPr>
            <a:r>
              <a:rPr lang="en-GB" sz="1000" baseline="0"/>
              <a:t>ages 15 - 35, averages for the period 2003-2022</a:t>
            </a:r>
            <a:endParaRPr lang="en-GB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40069991251094"/>
          <c:y val="0.23553295421405657"/>
          <c:w val="0.76968503937007871"/>
          <c:h val="0.64459098862642172"/>
        </c:manualLayout>
      </c:layout>
      <c:lineChart>
        <c:grouping val="standard"/>
        <c:varyColors val="0"/>
        <c:ser>
          <c:idx val="0"/>
          <c:order val="1"/>
          <c:tx>
            <c:v>average appr. error (scale left)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Personer1!$R$103:$AL$103</c:f>
              <c:numCache>
                <c:formatCode>General</c:formatCode>
                <c:ptCount val="2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</c:numCache>
            </c:numRef>
          </c:cat>
          <c:val>
            <c:numRef>
              <c:f>Personer1!$R$172:$AL$172</c:f>
              <c:numCache>
                <c:formatCode>General</c:formatCode>
                <c:ptCount val="21"/>
                <c:pt idx="0">
                  <c:v>10.55</c:v>
                </c:pt>
                <c:pt idx="1">
                  <c:v>8.85</c:v>
                </c:pt>
                <c:pt idx="2">
                  <c:v>-6.8</c:v>
                </c:pt>
                <c:pt idx="3">
                  <c:v>10.75</c:v>
                </c:pt>
                <c:pt idx="4">
                  <c:v>23.5</c:v>
                </c:pt>
                <c:pt idx="5">
                  <c:v>5.4</c:v>
                </c:pt>
                <c:pt idx="6">
                  <c:v>17.05</c:v>
                </c:pt>
                <c:pt idx="7">
                  <c:v>13.35</c:v>
                </c:pt>
                <c:pt idx="8">
                  <c:v>10.050000000000001</c:v>
                </c:pt>
                <c:pt idx="9">
                  <c:v>15.55</c:v>
                </c:pt>
                <c:pt idx="10">
                  <c:v>21.15</c:v>
                </c:pt>
                <c:pt idx="11">
                  <c:v>26.5</c:v>
                </c:pt>
                <c:pt idx="12">
                  <c:v>34.299999999999997</c:v>
                </c:pt>
                <c:pt idx="13">
                  <c:v>36.6</c:v>
                </c:pt>
                <c:pt idx="14">
                  <c:v>34.299999999999997</c:v>
                </c:pt>
                <c:pt idx="15">
                  <c:v>41.45</c:v>
                </c:pt>
                <c:pt idx="16">
                  <c:v>62.35</c:v>
                </c:pt>
                <c:pt idx="17">
                  <c:v>64.75</c:v>
                </c:pt>
                <c:pt idx="18">
                  <c:v>48.15</c:v>
                </c:pt>
                <c:pt idx="19">
                  <c:v>52.35</c:v>
                </c:pt>
                <c:pt idx="20" formatCode="0.0">
                  <c:v>54.45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7-49E1-A00A-D83EE81F6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327248"/>
        <c:axId val="811320032"/>
      </c:lineChart>
      <c:lineChart>
        <c:grouping val="standard"/>
        <c:varyColors val="0"/>
        <c:ser>
          <c:idx val="1"/>
          <c:order val="0"/>
          <c:tx>
            <c:v>average relative appr. error (scale right)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Personer1!$R$103:$AL$103</c:f>
              <c:numCache>
                <c:formatCode>General</c:formatCode>
                <c:ptCount val="21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  <c:pt idx="18">
                  <c:v>33</c:v>
                </c:pt>
                <c:pt idx="19">
                  <c:v>34</c:v>
                </c:pt>
                <c:pt idx="20">
                  <c:v>35</c:v>
                </c:pt>
              </c:numCache>
            </c:numRef>
          </c:cat>
          <c:val>
            <c:numRef>
              <c:f>Personer1!$R$220:$AL$220</c:f>
              <c:numCache>
                <c:formatCode>General</c:formatCode>
                <c:ptCount val="21"/>
                <c:pt idx="0">
                  <c:v>3.6722442124879837E-2</c:v>
                </c:pt>
                <c:pt idx="1">
                  <c:v>2.2913870685181466E-2</c:v>
                </c:pt>
                <c:pt idx="2">
                  <c:v>-3.3024236394442255E-2</c:v>
                </c:pt>
                <c:pt idx="3">
                  <c:v>2.2753904653361266E-2</c:v>
                </c:pt>
                <c:pt idx="4">
                  <c:v>6.930032976292233E-2</c:v>
                </c:pt>
                <c:pt idx="5">
                  <c:v>2.0956244108986357E-2</c:v>
                </c:pt>
                <c:pt idx="6">
                  <c:v>4.0334865380765167E-2</c:v>
                </c:pt>
                <c:pt idx="7">
                  <c:v>1.9224341203324516E-2</c:v>
                </c:pt>
                <c:pt idx="8">
                  <c:v>7.1596661200490682E-3</c:v>
                </c:pt>
                <c:pt idx="9">
                  <c:v>1.8247298803659346E-2</c:v>
                </c:pt>
                <c:pt idx="10">
                  <c:v>1.9519148976446216E-2</c:v>
                </c:pt>
                <c:pt idx="11">
                  <c:v>2.3456914133456609E-2</c:v>
                </c:pt>
                <c:pt idx="12">
                  <c:v>3.1825894584522695E-2</c:v>
                </c:pt>
                <c:pt idx="13">
                  <c:v>3.3794330233842318E-2</c:v>
                </c:pt>
                <c:pt idx="14">
                  <c:v>3.4375240951454694E-2</c:v>
                </c:pt>
                <c:pt idx="15">
                  <c:v>4.9749128567336688E-2</c:v>
                </c:pt>
                <c:pt idx="16">
                  <c:v>9.1770421485141737E-2</c:v>
                </c:pt>
                <c:pt idx="17">
                  <c:v>0.1019436864654989</c:v>
                </c:pt>
                <c:pt idx="18">
                  <c:v>9.514853118931571E-2</c:v>
                </c:pt>
                <c:pt idx="19">
                  <c:v>0.10095091572106256</c:v>
                </c:pt>
                <c:pt idx="20">
                  <c:v>0.12210386812519398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D7-49E1-A00A-D83EE81F6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2768968"/>
        <c:axId val="492770936"/>
      </c:lineChart>
      <c:catAx>
        <c:axId val="81132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20032"/>
        <c:crossesAt val="-5.000000000000001E-3"/>
        <c:auto val="1"/>
        <c:lblAlgn val="ctr"/>
        <c:lblOffset val="100"/>
        <c:tickLblSkip val="5"/>
        <c:tickMarkSkip val="5"/>
        <c:noMultiLvlLbl val="0"/>
      </c:catAx>
      <c:valAx>
        <c:axId val="811320032"/>
        <c:scaling>
          <c:orientation val="minMax"/>
          <c:max val="8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27248"/>
        <c:crosses val="autoZero"/>
        <c:crossBetween val="between"/>
        <c:majorUnit val="20"/>
      </c:valAx>
      <c:valAx>
        <c:axId val="492770936"/>
        <c:scaling>
          <c:orientation val="minMax"/>
          <c:max val="0.2"/>
          <c:min val="-0.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68968"/>
        <c:crosses val="max"/>
        <c:crossBetween val="between"/>
        <c:majorUnit val="5.000000000000001E-2"/>
      </c:valAx>
      <c:catAx>
        <c:axId val="492768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2770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4707593188371329"/>
          <c:y val="0.25925925925925924"/>
          <c:w val="0.52322646871048906"/>
          <c:h val="0.153358121901429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Approximation errors for deaths - </a:t>
            </a:r>
            <a:endParaRPr lang="en-GB" sz="1000" baseline="0"/>
          </a:p>
          <a:p>
            <a:pPr>
              <a:defRPr/>
            </a:pPr>
            <a:r>
              <a:rPr lang="en-GB" sz="1000" baseline="0"/>
              <a:t>ages 60 - 100, averages for the period 2003-2022</a:t>
            </a:r>
            <a:endParaRPr lang="en-GB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40069991251094"/>
          <c:y val="0.23553295421405657"/>
          <c:w val="0.76968503937007871"/>
          <c:h val="0.64459098862642172"/>
        </c:manualLayout>
      </c:layout>
      <c:lineChart>
        <c:grouping val="standard"/>
        <c:varyColors val="0"/>
        <c:ser>
          <c:idx val="0"/>
          <c:order val="0"/>
          <c:tx>
            <c:v>average appr. error (scale left)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Personer1!$BK$103:$CY$103</c:f>
              <c:numCache>
                <c:formatCode>General</c:formatCode>
                <c:ptCount val="4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</c:numCache>
            </c:numRef>
          </c:cat>
          <c:val>
            <c:numRef>
              <c:f>Personer1!$BK$148:$CY$148</c:f>
              <c:numCache>
                <c:formatCode>General</c:formatCode>
                <c:ptCount val="41"/>
                <c:pt idx="0">
                  <c:v>9.3000000000000007</c:v>
                </c:pt>
                <c:pt idx="1">
                  <c:v>-10.7</c:v>
                </c:pt>
                <c:pt idx="2">
                  <c:v>-20.3</c:v>
                </c:pt>
                <c:pt idx="3">
                  <c:v>-6.7</c:v>
                </c:pt>
                <c:pt idx="4">
                  <c:v>-12.75</c:v>
                </c:pt>
                <c:pt idx="5">
                  <c:v>-5.25</c:v>
                </c:pt>
                <c:pt idx="6">
                  <c:v>-24.4</c:v>
                </c:pt>
                <c:pt idx="7">
                  <c:v>-13.1</c:v>
                </c:pt>
                <c:pt idx="8">
                  <c:v>-0.2</c:v>
                </c:pt>
                <c:pt idx="9">
                  <c:v>7.35</c:v>
                </c:pt>
                <c:pt idx="10">
                  <c:v>7.95</c:v>
                </c:pt>
                <c:pt idx="11">
                  <c:v>16.8</c:v>
                </c:pt>
                <c:pt idx="12">
                  <c:v>13.85</c:v>
                </c:pt>
                <c:pt idx="13">
                  <c:v>13.9</c:v>
                </c:pt>
                <c:pt idx="14">
                  <c:v>12.25</c:v>
                </c:pt>
                <c:pt idx="15">
                  <c:v>16.399999999999999</c:v>
                </c:pt>
                <c:pt idx="16">
                  <c:v>11</c:v>
                </c:pt>
                <c:pt idx="17">
                  <c:v>12.05</c:v>
                </c:pt>
                <c:pt idx="18">
                  <c:v>9.3000000000000007</c:v>
                </c:pt>
                <c:pt idx="19">
                  <c:v>9.1999999999999993</c:v>
                </c:pt>
                <c:pt idx="20">
                  <c:v>9.8000000000000007</c:v>
                </c:pt>
                <c:pt idx="21">
                  <c:v>6.2</c:v>
                </c:pt>
                <c:pt idx="22">
                  <c:v>6.5</c:v>
                </c:pt>
                <c:pt idx="23">
                  <c:v>3.9</c:v>
                </c:pt>
                <c:pt idx="24">
                  <c:v>4.0999999999999996</c:v>
                </c:pt>
                <c:pt idx="25">
                  <c:v>5</c:v>
                </c:pt>
                <c:pt idx="26">
                  <c:v>1.5</c:v>
                </c:pt>
                <c:pt idx="27">
                  <c:v>0.95</c:v>
                </c:pt>
                <c:pt idx="28">
                  <c:v>2.95</c:v>
                </c:pt>
                <c:pt idx="29">
                  <c:v>-0.2</c:v>
                </c:pt>
                <c:pt idx="30">
                  <c:v>-0.2</c:v>
                </c:pt>
                <c:pt idx="31">
                  <c:v>0.85</c:v>
                </c:pt>
                <c:pt idx="32">
                  <c:v>-0.8</c:v>
                </c:pt>
                <c:pt idx="33">
                  <c:v>-0.35</c:v>
                </c:pt>
                <c:pt idx="34">
                  <c:v>-0.75</c:v>
                </c:pt>
                <c:pt idx="35">
                  <c:v>-0.35</c:v>
                </c:pt>
                <c:pt idx="36">
                  <c:v>-0.4</c:v>
                </c:pt>
                <c:pt idx="37">
                  <c:v>-0.55000000000000004</c:v>
                </c:pt>
                <c:pt idx="38">
                  <c:v>-0.05</c:v>
                </c:pt>
                <c:pt idx="39">
                  <c:v>0.1</c:v>
                </c:pt>
                <c:pt idx="40">
                  <c:v>-0.55000000000000004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F3-4210-93AB-D11A4171D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327248"/>
        <c:axId val="811320032"/>
      </c:lineChart>
      <c:lineChart>
        <c:grouping val="standard"/>
        <c:varyColors val="0"/>
        <c:ser>
          <c:idx val="1"/>
          <c:order val="1"/>
          <c:tx>
            <c:v>average relative appr. error (scale right)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Personer1!$BK$103:$CY$103</c:f>
              <c:numCache>
                <c:formatCode>General</c:formatCode>
                <c:ptCount val="4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</c:numCache>
            </c:numRef>
          </c:cat>
          <c:val>
            <c:numRef>
              <c:f>Personer1!$BK$196:$CY$196</c:f>
              <c:numCache>
                <c:formatCode>General</c:formatCode>
                <c:ptCount val="41"/>
                <c:pt idx="0">
                  <c:v>3.5355485038078623E-2</c:v>
                </c:pt>
                <c:pt idx="1">
                  <c:v>-3.0963399517304362E-2</c:v>
                </c:pt>
                <c:pt idx="2">
                  <c:v>-5.045907591246681E-2</c:v>
                </c:pt>
                <c:pt idx="3">
                  <c:v>-2.0101040900627976E-2</c:v>
                </c:pt>
                <c:pt idx="4">
                  <c:v>-3.1533243560272393E-2</c:v>
                </c:pt>
                <c:pt idx="5">
                  <c:v>-1.2388932711097245E-2</c:v>
                </c:pt>
                <c:pt idx="6">
                  <c:v>-5.3242509102628108E-2</c:v>
                </c:pt>
                <c:pt idx="7">
                  <c:v>-2.5980794930950162E-2</c:v>
                </c:pt>
                <c:pt idx="8">
                  <c:v>-2.5238460784552789E-3</c:v>
                </c:pt>
                <c:pt idx="9">
                  <c:v>1.1182994757528132E-2</c:v>
                </c:pt>
                <c:pt idx="10">
                  <c:v>1.1106186930938918E-2</c:v>
                </c:pt>
                <c:pt idx="11">
                  <c:v>2.4397420938606494E-2</c:v>
                </c:pt>
                <c:pt idx="12">
                  <c:v>1.8452733730794035E-2</c:v>
                </c:pt>
                <c:pt idx="13">
                  <c:v>1.6849799425730817E-2</c:v>
                </c:pt>
                <c:pt idx="14">
                  <c:v>1.4203091837549068E-2</c:v>
                </c:pt>
                <c:pt idx="15">
                  <c:v>1.8195141644881195E-2</c:v>
                </c:pt>
                <c:pt idx="16">
                  <c:v>1.1808570070758185E-2</c:v>
                </c:pt>
                <c:pt idx="17">
                  <c:v>1.2421839239768402E-2</c:v>
                </c:pt>
                <c:pt idx="18">
                  <c:v>9.084946896457783E-3</c:v>
                </c:pt>
                <c:pt idx="19">
                  <c:v>8.7082719325676412E-3</c:v>
                </c:pt>
                <c:pt idx="20">
                  <c:v>8.554241057737666E-3</c:v>
                </c:pt>
                <c:pt idx="21">
                  <c:v>5.4252106271158503E-3</c:v>
                </c:pt>
                <c:pt idx="22">
                  <c:v>5.1992118258652751E-3</c:v>
                </c:pt>
                <c:pt idx="23">
                  <c:v>2.8331230882752299E-3</c:v>
                </c:pt>
                <c:pt idx="24">
                  <c:v>3.1096349063030508E-3</c:v>
                </c:pt>
                <c:pt idx="25">
                  <c:v>3.3136314013907887E-3</c:v>
                </c:pt>
                <c:pt idx="26">
                  <c:v>1.0248867194366975E-3</c:v>
                </c:pt>
                <c:pt idx="27">
                  <c:v>6.5749323630660134E-4</c:v>
                </c:pt>
                <c:pt idx="28">
                  <c:v>1.8173373449729964E-3</c:v>
                </c:pt>
                <c:pt idx="29">
                  <c:v>-1.3634795883972175E-4</c:v>
                </c:pt>
                <c:pt idx="30">
                  <c:v>-1.1857895476181211E-4</c:v>
                </c:pt>
                <c:pt idx="31">
                  <c:v>6.072568396680118E-4</c:v>
                </c:pt>
                <c:pt idx="32">
                  <c:v>-6.6773883246970544E-4</c:v>
                </c:pt>
                <c:pt idx="33">
                  <c:v>-3.6021668434739587E-4</c:v>
                </c:pt>
                <c:pt idx="34">
                  <c:v>-7.3188305233685589E-4</c:v>
                </c:pt>
                <c:pt idx="35">
                  <c:v>-5.7406486810713977E-4</c:v>
                </c:pt>
                <c:pt idx="36">
                  <c:v>-5.2004389324011488E-4</c:v>
                </c:pt>
                <c:pt idx="37">
                  <c:v>-1.286297506896756E-3</c:v>
                </c:pt>
                <c:pt idx="38">
                  <c:v>-2.535331472433897E-4</c:v>
                </c:pt>
                <c:pt idx="39">
                  <c:v>3.2963930478161553E-4</c:v>
                </c:pt>
                <c:pt idx="40">
                  <c:v>-3.3965745730930425E-3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F3-4210-93AB-D11A4171D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746136"/>
        <c:axId val="494745152"/>
      </c:lineChart>
      <c:catAx>
        <c:axId val="81132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20032"/>
        <c:crossesAt val="-5.000000000000001E-3"/>
        <c:auto val="1"/>
        <c:lblAlgn val="ctr"/>
        <c:lblOffset val="100"/>
        <c:tickLblSkip val="5"/>
        <c:tickMarkSkip val="5"/>
        <c:noMultiLvlLbl val="0"/>
      </c:catAx>
      <c:valAx>
        <c:axId val="81132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327248"/>
        <c:crosses val="autoZero"/>
        <c:crossBetween val="between"/>
        <c:majorUnit val="10"/>
      </c:valAx>
      <c:valAx>
        <c:axId val="494745152"/>
        <c:scaling>
          <c:orientation val="minMax"/>
          <c:max val="4.0000000000000008E-2"/>
          <c:min val="-6.0000000000000012E-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746136"/>
        <c:crosses val="max"/>
        <c:crossBetween val="between"/>
      </c:valAx>
      <c:catAx>
        <c:axId val="494746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4745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2154338219646234"/>
          <c:y val="0.69907407407407407"/>
          <c:w val="0.47475166890312342"/>
          <c:h val="0.14294036162146398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480060</xdr:colOff>
      <xdr:row>4</xdr:row>
      <xdr:rowOff>171450</xdr:rowOff>
    </xdr:from>
    <xdr:to>
      <xdr:col>15</xdr:col>
      <xdr:colOff>175260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5</xdr:row>
      <xdr:rowOff>0</xdr:rowOff>
    </xdr:from>
    <xdr:to>
      <xdr:col>23</xdr:col>
      <xdr:colOff>403860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541020</xdr:colOff>
      <xdr:row>4</xdr:row>
      <xdr:rowOff>129540</xdr:rowOff>
    </xdr:from>
    <xdr:to>
      <xdr:col>31</xdr:col>
      <xdr:colOff>312420</xdr:colOff>
      <xdr:row>19</xdr:row>
      <xdr:rowOff>129540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542925</xdr:colOff>
      <xdr:row>21</xdr:row>
      <xdr:rowOff>85725</xdr:rowOff>
    </xdr:from>
    <xdr:to>
      <xdr:col>31</xdr:col>
      <xdr:colOff>112395</xdr:colOff>
      <xdr:row>36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495300</xdr:colOff>
      <xdr:row>37</xdr:row>
      <xdr:rowOff>85725</xdr:rowOff>
    </xdr:from>
    <xdr:to>
      <xdr:col>31</xdr:col>
      <xdr:colOff>64770</xdr:colOff>
      <xdr:row>52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21</xdr:row>
      <xdr:rowOff>0</xdr:rowOff>
    </xdr:from>
    <xdr:to>
      <xdr:col>23</xdr:col>
      <xdr:colOff>403860</xdr:colOff>
      <xdr:row>36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22"/>
  <sheetViews>
    <sheetView tabSelected="1" workbookViewId="0">
      <pane xSplit="2" ySplit="4" topLeftCell="Y151" activePane="bottomRight" state="frozen"/>
      <selection pane="topRight" activeCell="C1" sqref="C1"/>
      <selection pane="bottomLeft" activeCell="A5" sqref="A5"/>
      <selection pane="bottomRight" activeCell="AL172" sqref="AL172"/>
    </sheetView>
  </sheetViews>
  <sheetFormatPr defaultRowHeight="14.4" x14ac:dyDescent="0.3"/>
  <cols>
    <col min="1" max="1" width="9.109375" customWidth="1"/>
    <col min="3" max="3" width="9.33203125" bestFit="1" customWidth="1"/>
    <col min="4" max="5" width="9" bestFit="1" customWidth="1"/>
    <col min="6" max="14" width="9.33203125" bestFit="1" customWidth="1"/>
    <col min="15" max="15" width="9.109375" bestFit="1" customWidth="1"/>
    <col min="16" max="17" width="9.33203125" bestFit="1" customWidth="1"/>
    <col min="18" max="24" width="9.109375" bestFit="1" customWidth="1"/>
    <col min="25" max="32" width="9.5546875" bestFit="1" customWidth="1"/>
    <col min="33" max="49" width="9.33203125" bestFit="1" customWidth="1"/>
    <col min="50" max="50" width="9.109375" bestFit="1" customWidth="1"/>
    <col min="51" max="53" width="9.33203125" bestFit="1" customWidth="1"/>
    <col min="54" max="54" width="9.109375" bestFit="1" customWidth="1"/>
    <col min="55" max="56" width="9.33203125" bestFit="1" customWidth="1"/>
    <col min="57" max="57" width="9.109375" bestFit="1" customWidth="1"/>
    <col min="58" max="58" width="9.33203125" bestFit="1" customWidth="1"/>
    <col min="59" max="59" width="9.109375" bestFit="1" customWidth="1"/>
    <col min="60" max="60" width="9.33203125" bestFit="1" customWidth="1"/>
    <col min="61" max="62" width="9.109375" bestFit="1" customWidth="1"/>
    <col min="63" max="64" width="9.33203125" bestFit="1" customWidth="1"/>
    <col min="65" max="65" width="9.109375" bestFit="1" customWidth="1"/>
    <col min="66" max="67" width="9.33203125" bestFit="1" customWidth="1"/>
    <col min="68" max="68" width="9.109375" bestFit="1" customWidth="1"/>
    <col min="69" max="71" width="9.33203125" bestFit="1" customWidth="1"/>
    <col min="72" max="72" width="9.109375" bestFit="1" customWidth="1"/>
    <col min="73" max="73" width="9.33203125" bestFit="1" customWidth="1"/>
    <col min="74" max="74" width="9.109375" bestFit="1" customWidth="1"/>
    <col min="75" max="76" width="9.33203125" bestFit="1" customWidth="1"/>
    <col min="77" max="77" width="9.109375" bestFit="1" customWidth="1"/>
    <col min="78" max="79" width="9.33203125" bestFit="1" customWidth="1"/>
    <col min="80" max="81" width="9.109375" bestFit="1" customWidth="1"/>
    <col min="82" max="82" width="9.33203125" bestFit="1" customWidth="1"/>
    <col min="83" max="84" width="9.109375" bestFit="1" customWidth="1"/>
    <col min="85" max="87" width="9.33203125" bestFit="1" customWidth="1"/>
    <col min="88" max="88" width="9.109375" bestFit="1" customWidth="1"/>
    <col min="89" max="90" width="9.33203125" bestFit="1" customWidth="1"/>
    <col min="91" max="91" width="9.109375" bestFit="1" customWidth="1"/>
    <col min="92" max="93" width="9.33203125" bestFit="1" customWidth="1"/>
    <col min="94" max="94" width="9.109375" bestFit="1" customWidth="1"/>
    <col min="95" max="103" width="9.33203125" bestFit="1" customWidth="1"/>
  </cols>
  <sheetData>
    <row r="1" spans="1:104" ht="18" x14ac:dyDescent="0.35">
      <c r="B1" s="1"/>
    </row>
    <row r="2" spans="1:104" x14ac:dyDescent="0.3">
      <c r="C2" s="2" t="s">
        <v>21</v>
      </c>
    </row>
    <row r="3" spans="1:104" x14ac:dyDescent="0.3">
      <c r="C3" t="s">
        <v>34</v>
      </c>
    </row>
    <row r="4" spans="1:104" x14ac:dyDescent="0.3">
      <c r="C4" s="9">
        <v>0</v>
      </c>
      <c r="D4" s="9">
        <v>1</v>
      </c>
      <c r="E4" s="9">
        <v>2</v>
      </c>
      <c r="F4" s="9">
        <v>3</v>
      </c>
      <c r="G4" s="9">
        <v>4</v>
      </c>
      <c r="H4" s="9">
        <v>5</v>
      </c>
      <c r="I4" s="9">
        <v>6</v>
      </c>
      <c r="J4" s="9">
        <v>7</v>
      </c>
      <c r="K4" s="9">
        <v>8</v>
      </c>
      <c r="L4" s="9">
        <v>9</v>
      </c>
      <c r="M4" s="9">
        <v>10</v>
      </c>
      <c r="N4" s="9">
        <v>11</v>
      </c>
      <c r="O4" s="9">
        <v>12</v>
      </c>
      <c r="P4" s="9">
        <v>13</v>
      </c>
      <c r="Q4" s="9">
        <v>14</v>
      </c>
      <c r="R4" s="9">
        <v>15</v>
      </c>
      <c r="S4" s="9">
        <v>16</v>
      </c>
      <c r="T4" s="9">
        <v>17</v>
      </c>
      <c r="U4" s="9">
        <v>18</v>
      </c>
      <c r="V4" s="9">
        <v>19</v>
      </c>
      <c r="W4" s="9">
        <v>20</v>
      </c>
      <c r="X4" s="9">
        <v>21</v>
      </c>
      <c r="Y4" s="9">
        <v>22</v>
      </c>
      <c r="Z4" s="9">
        <v>23</v>
      </c>
      <c r="AA4" s="9">
        <v>24</v>
      </c>
      <c r="AB4" s="9">
        <v>25</v>
      </c>
      <c r="AC4" s="9">
        <v>26</v>
      </c>
      <c r="AD4" s="9">
        <v>27</v>
      </c>
      <c r="AE4" s="9">
        <v>28</v>
      </c>
      <c r="AF4" s="9">
        <v>29</v>
      </c>
      <c r="AG4" s="9">
        <v>30</v>
      </c>
      <c r="AH4" s="9">
        <v>31</v>
      </c>
      <c r="AI4" s="9">
        <v>32</v>
      </c>
      <c r="AJ4" s="9">
        <v>33</v>
      </c>
      <c r="AK4" s="9">
        <v>34</v>
      </c>
      <c r="AL4" s="9">
        <v>35</v>
      </c>
      <c r="AM4" s="9">
        <v>36</v>
      </c>
      <c r="AN4" s="9">
        <v>37</v>
      </c>
      <c r="AO4" s="9">
        <v>38</v>
      </c>
      <c r="AP4" s="9">
        <v>39</v>
      </c>
      <c r="AQ4" s="9">
        <v>40</v>
      </c>
      <c r="AR4" s="9">
        <v>41</v>
      </c>
      <c r="AS4" s="9">
        <v>42</v>
      </c>
      <c r="AT4" s="9">
        <v>43</v>
      </c>
      <c r="AU4" s="9">
        <v>44</v>
      </c>
      <c r="AV4" s="9">
        <v>45</v>
      </c>
      <c r="AW4" s="9">
        <v>46</v>
      </c>
      <c r="AX4" s="9">
        <v>47</v>
      </c>
      <c r="AY4" s="9">
        <v>48</v>
      </c>
      <c r="AZ4" s="9">
        <v>49</v>
      </c>
      <c r="BA4" s="9">
        <v>50</v>
      </c>
      <c r="BB4" s="9">
        <v>51</v>
      </c>
      <c r="BC4" s="9">
        <v>52</v>
      </c>
      <c r="BD4" s="9">
        <v>53</v>
      </c>
      <c r="BE4" s="9">
        <v>54</v>
      </c>
      <c r="BF4" s="9">
        <v>55</v>
      </c>
      <c r="BG4" s="9">
        <v>56</v>
      </c>
      <c r="BH4" s="9">
        <v>57</v>
      </c>
      <c r="BI4" s="9">
        <v>58</v>
      </c>
      <c r="BJ4" s="9">
        <v>59</v>
      </c>
      <c r="BK4" s="9">
        <v>60</v>
      </c>
      <c r="BL4" s="9">
        <v>61</v>
      </c>
      <c r="BM4" s="9">
        <v>62</v>
      </c>
      <c r="BN4" s="9">
        <v>63</v>
      </c>
      <c r="BO4" s="9">
        <v>64</v>
      </c>
      <c r="BP4" s="9">
        <v>65</v>
      </c>
      <c r="BQ4" s="9">
        <v>66</v>
      </c>
      <c r="BR4" s="9">
        <v>67</v>
      </c>
      <c r="BS4" s="9">
        <v>68</v>
      </c>
      <c r="BT4" s="9">
        <v>69</v>
      </c>
      <c r="BU4" s="9">
        <v>70</v>
      </c>
      <c r="BV4" s="9">
        <v>71</v>
      </c>
      <c r="BW4" s="9">
        <v>72</v>
      </c>
      <c r="BX4" s="9">
        <v>73</v>
      </c>
      <c r="BY4" s="9">
        <v>74</v>
      </c>
      <c r="BZ4" s="9">
        <v>75</v>
      </c>
      <c r="CA4" s="9">
        <v>76</v>
      </c>
      <c r="CB4" s="9">
        <v>77</v>
      </c>
      <c r="CC4" s="9">
        <v>78</v>
      </c>
      <c r="CD4" s="9">
        <v>79</v>
      </c>
      <c r="CE4" s="9">
        <v>80</v>
      </c>
      <c r="CF4" s="9">
        <v>81</v>
      </c>
      <c r="CG4" s="9">
        <v>82</v>
      </c>
      <c r="CH4" s="9">
        <v>83</v>
      </c>
      <c r="CI4" s="9">
        <v>84</v>
      </c>
      <c r="CJ4" s="9">
        <v>85</v>
      </c>
      <c r="CK4" s="9">
        <v>86</v>
      </c>
      <c r="CL4" s="9">
        <v>87</v>
      </c>
      <c r="CM4" s="9">
        <v>88</v>
      </c>
      <c r="CN4" s="9">
        <v>89</v>
      </c>
      <c r="CO4" s="9">
        <v>90</v>
      </c>
      <c r="CP4" s="9">
        <v>91</v>
      </c>
      <c r="CQ4" s="9">
        <v>92</v>
      </c>
      <c r="CR4" s="9">
        <v>93</v>
      </c>
      <c r="CS4" s="9">
        <v>94</v>
      </c>
      <c r="CT4" s="9">
        <v>95</v>
      </c>
      <c r="CU4" s="9">
        <v>96</v>
      </c>
      <c r="CV4" s="9">
        <v>97</v>
      </c>
      <c r="CW4" s="9">
        <v>98</v>
      </c>
      <c r="CX4" s="9">
        <v>99</v>
      </c>
      <c r="CY4" s="9">
        <v>100</v>
      </c>
      <c r="CZ4" s="9">
        <v>101</v>
      </c>
    </row>
    <row r="5" spans="1:104" x14ac:dyDescent="0.3">
      <c r="A5" s="4">
        <v>2003</v>
      </c>
      <c r="C5" s="7">
        <v>55620</v>
      </c>
      <c r="D5" s="7">
        <v>57294</v>
      </c>
      <c r="E5" s="7">
        <v>59963</v>
      </c>
      <c r="F5" s="7">
        <v>60190</v>
      </c>
      <c r="G5" s="7">
        <v>59527</v>
      </c>
      <c r="H5" s="7">
        <v>61136</v>
      </c>
      <c r="I5" s="7">
        <v>62485</v>
      </c>
      <c r="J5" s="7">
        <v>61896</v>
      </c>
      <c r="K5" s="7">
        <v>61642</v>
      </c>
      <c r="L5" s="7">
        <v>61366</v>
      </c>
      <c r="M5" s="7">
        <v>62277</v>
      </c>
      <c r="N5" s="7">
        <v>63030</v>
      </c>
      <c r="O5" s="7">
        <v>63066</v>
      </c>
      <c r="P5" s="7">
        <v>61304</v>
      </c>
      <c r="Q5" s="7">
        <v>59532</v>
      </c>
      <c r="R5" s="7">
        <v>56366</v>
      </c>
      <c r="S5" s="7">
        <v>55099</v>
      </c>
      <c r="T5" s="7">
        <v>53918</v>
      </c>
      <c r="U5" s="7">
        <v>53349</v>
      </c>
      <c r="V5" s="7">
        <v>53348</v>
      </c>
      <c r="W5" s="7">
        <v>54509</v>
      </c>
      <c r="X5" s="7">
        <v>54181</v>
      </c>
      <c r="Y5" s="7">
        <v>54863</v>
      </c>
      <c r="Z5" s="7">
        <v>55503</v>
      </c>
      <c r="AA5" s="7">
        <v>55857</v>
      </c>
      <c r="AB5" s="7">
        <v>55333</v>
      </c>
      <c r="AC5" s="7">
        <v>58041</v>
      </c>
      <c r="AD5" s="7">
        <v>60932</v>
      </c>
      <c r="AE5" s="7">
        <v>64511</v>
      </c>
      <c r="AF5" s="7">
        <v>65949</v>
      </c>
      <c r="AG5" s="7">
        <v>68866</v>
      </c>
      <c r="AH5" s="7">
        <v>69934</v>
      </c>
      <c r="AI5" s="7">
        <v>69463</v>
      </c>
      <c r="AJ5" s="7">
        <v>72032</v>
      </c>
      <c r="AK5" s="7">
        <v>71663</v>
      </c>
      <c r="AL5" s="7">
        <v>70194</v>
      </c>
      <c r="AM5" s="7">
        <v>70424</v>
      </c>
      <c r="AN5" s="7">
        <v>69626</v>
      </c>
      <c r="AO5" s="7">
        <v>68796</v>
      </c>
      <c r="AP5" s="7">
        <v>66357</v>
      </c>
      <c r="AQ5" s="7">
        <v>65012</v>
      </c>
      <c r="AR5" s="7">
        <v>64388</v>
      </c>
      <c r="AS5" s="7">
        <v>63869</v>
      </c>
      <c r="AT5" s="7">
        <v>64381</v>
      </c>
      <c r="AU5" s="7">
        <v>63959</v>
      </c>
      <c r="AV5" s="7">
        <v>63165</v>
      </c>
      <c r="AW5" s="7">
        <v>63980</v>
      </c>
      <c r="AX5" s="7">
        <v>62797</v>
      </c>
      <c r="AY5" s="7">
        <v>61634</v>
      </c>
      <c r="AZ5" s="7">
        <v>61371</v>
      </c>
      <c r="BA5" s="7">
        <v>60514</v>
      </c>
      <c r="BB5" s="7">
        <v>58054</v>
      </c>
      <c r="BC5" s="7">
        <v>59330</v>
      </c>
      <c r="BD5" s="7">
        <v>59587</v>
      </c>
      <c r="BE5" s="7">
        <v>60583</v>
      </c>
      <c r="BF5" s="7">
        <v>61933</v>
      </c>
      <c r="BG5" s="7">
        <v>64293</v>
      </c>
      <c r="BH5" s="7">
        <v>57424</v>
      </c>
      <c r="BI5" s="7">
        <v>55073</v>
      </c>
      <c r="BJ5" s="7">
        <v>48690</v>
      </c>
      <c r="BK5" s="6">
        <v>44613</v>
      </c>
      <c r="BL5" s="6">
        <v>38892</v>
      </c>
      <c r="BM5" s="6">
        <v>40124</v>
      </c>
      <c r="BN5" s="6">
        <v>38630</v>
      </c>
      <c r="BO5" s="6">
        <v>36938</v>
      </c>
      <c r="BP5" s="6">
        <v>35000</v>
      </c>
      <c r="BQ5" s="6">
        <v>33433</v>
      </c>
      <c r="BR5" s="6">
        <v>31808</v>
      </c>
      <c r="BS5" s="6">
        <v>31364</v>
      </c>
      <c r="BT5" s="6">
        <v>31105</v>
      </c>
      <c r="BU5" s="6">
        <v>32724</v>
      </c>
      <c r="BV5" s="6">
        <v>32130</v>
      </c>
      <c r="BW5" s="6">
        <v>32348</v>
      </c>
      <c r="BX5" s="6">
        <v>31063</v>
      </c>
      <c r="BY5" s="6">
        <v>30829</v>
      </c>
      <c r="BZ5" s="6">
        <v>29789</v>
      </c>
      <c r="CA5" s="6">
        <v>30305</v>
      </c>
      <c r="CB5" s="6">
        <v>29071</v>
      </c>
      <c r="CC5" s="6">
        <v>29139</v>
      </c>
      <c r="CD5" s="6">
        <v>28405</v>
      </c>
      <c r="CE5" s="6">
        <v>27041</v>
      </c>
      <c r="CF5" s="6">
        <v>25591</v>
      </c>
      <c r="CG5" s="7">
        <v>25391</v>
      </c>
      <c r="CH5" s="7">
        <v>19374</v>
      </c>
      <c r="CI5" s="7">
        <v>18318</v>
      </c>
      <c r="CJ5" s="7">
        <v>16726</v>
      </c>
      <c r="CK5" s="7">
        <v>14028</v>
      </c>
      <c r="CL5" s="7">
        <v>12048</v>
      </c>
      <c r="CM5" s="7">
        <v>10284</v>
      </c>
      <c r="CN5" s="7">
        <v>8623</v>
      </c>
      <c r="CO5" s="7">
        <v>7159</v>
      </c>
      <c r="CP5" s="7">
        <v>5649</v>
      </c>
      <c r="CQ5" s="7">
        <v>4298</v>
      </c>
      <c r="CR5" s="7">
        <v>3258</v>
      </c>
      <c r="CS5" s="7">
        <v>2342</v>
      </c>
      <c r="CT5" s="7">
        <v>1725</v>
      </c>
      <c r="CU5" s="7">
        <v>1130</v>
      </c>
      <c r="CV5" s="7">
        <v>778</v>
      </c>
      <c r="CW5" s="7">
        <v>506</v>
      </c>
      <c r="CX5" s="7">
        <v>327</v>
      </c>
      <c r="CY5" s="7">
        <v>201</v>
      </c>
      <c r="CZ5" s="7">
        <v>124</v>
      </c>
    </row>
    <row r="6" spans="1:104" x14ac:dyDescent="0.3">
      <c r="A6" s="2" t="s">
        <v>0</v>
      </c>
      <c r="C6" s="7">
        <v>56599</v>
      </c>
      <c r="D6" s="7">
        <v>56259</v>
      </c>
      <c r="E6" s="7">
        <v>57612</v>
      </c>
      <c r="F6" s="7">
        <v>60103</v>
      </c>
      <c r="G6" s="7">
        <v>60316</v>
      </c>
      <c r="H6" s="7">
        <v>59667</v>
      </c>
      <c r="I6" s="7">
        <v>61324</v>
      </c>
      <c r="J6" s="7">
        <v>62688</v>
      </c>
      <c r="K6" s="7">
        <v>62090</v>
      </c>
      <c r="L6" s="7">
        <v>61845</v>
      </c>
      <c r="M6" s="7">
        <v>61535</v>
      </c>
      <c r="N6" s="7">
        <v>62497</v>
      </c>
      <c r="O6" s="7">
        <v>63213</v>
      </c>
      <c r="P6" s="7">
        <v>63246</v>
      </c>
      <c r="Q6" s="7">
        <v>61542</v>
      </c>
      <c r="R6" s="7">
        <v>59737</v>
      </c>
      <c r="S6" s="7">
        <v>56635</v>
      </c>
      <c r="T6" s="7">
        <v>55418</v>
      </c>
      <c r="U6" s="7">
        <v>54293</v>
      </c>
      <c r="V6" s="7">
        <v>53737</v>
      </c>
      <c r="W6" s="7">
        <v>53661</v>
      </c>
      <c r="X6" s="7">
        <v>54879</v>
      </c>
      <c r="Y6" s="7">
        <v>54472</v>
      </c>
      <c r="Z6" s="7">
        <v>55275</v>
      </c>
      <c r="AA6" s="7">
        <v>55911</v>
      </c>
      <c r="AB6" s="7">
        <v>56295</v>
      </c>
      <c r="AC6" s="7">
        <v>55836</v>
      </c>
      <c r="AD6" s="7">
        <v>58387</v>
      </c>
      <c r="AE6" s="7">
        <v>61349</v>
      </c>
      <c r="AF6" s="7">
        <v>64824</v>
      </c>
      <c r="AG6" s="7">
        <v>66230</v>
      </c>
      <c r="AH6" s="7">
        <v>69082</v>
      </c>
      <c r="AI6" s="7">
        <v>70080</v>
      </c>
      <c r="AJ6" s="7">
        <v>69626</v>
      </c>
      <c r="AK6" s="7">
        <v>72161</v>
      </c>
      <c r="AL6" s="7">
        <v>71781</v>
      </c>
      <c r="AM6" s="7">
        <v>70295</v>
      </c>
      <c r="AN6" s="7">
        <v>70533</v>
      </c>
      <c r="AO6" s="7">
        <v>69754</v>
      </c>
      <c r="AP6" s="7">
        <v>68871</v>
      </c>
      <c r="AQ6" s="7">
        <v>66355</v>
      </c>
      <c r="AR6" s="7">
        <v>65038</v>
      </c>
      <c r="AS6" s="7">
        <v>64384</v>
      </c>
      <c r="AT6" s="7">
        <v>63849</v>
      </c>
      <c r="AU6" s="7">
        <v>64369</v>
      </c>
      <c r="AV6" s="7">
        <v>63849</v>
      </c>
      <c r="AW6" s="7">
        <v>63091</v>
      </c>
      <c r="AX6" s="7">
        <v>63897</v>
      </c>
      <c r="AY6" s="7">
        <v>62701</v>
      </c>
      <c r="AZ6" s="7">
        <v>61520</v>
      </c>
      <c r="BA6" s="7">
        <v>61225</v>
      </c>
      <c r="BB6" s="7">
        <v>60339</v>
      </c>
      <c r="BC6" s="7">
        <v>57851</v>
      </c>
      <c r="BD6" s="7">
        <v>59101</v>
      </c>
      <c r="BE6" s="7">
        <v>59336</v>
      </c>
      <c r="BF6" s="7">
        <v>60313</v>
      </c>
      <c r="BG6" s="7">
        <v>61600</v>
      </c>
      <c r="BH6" s="7">
        <v>63893</v>
      </c>
      <c r="BI6" s="7">
        <v>57073</v>
      </c>
      <c r="BJ6" s="7">
        <v>54692</v>
      </c>
      <c r="BK6" s="3">
        <v>48312</v>
      </c>
      <c r="BL6" s="3">
        <v>44268</v>
      </c>
      <c r="BM6" s="3">
        <v>38475</v>
      </c>
      <c r="BN6" s="3">
        <v>39730</v>
      </c>
      <c r="BO6" s="3">
        <v>38179</v>
      </c>
      <c r="BP6" s="3">
        <v>36506</v>
      </c>
      <c r="BQ6" s="3">
        <v>34523</v>
      </c>
      <c r="BR6" s="3">
        <v>32872</v>
      </c>
      <c r="BS6" s="3">
        <v>31310</v>
      </c>
      <c r="BT6" s="3">
        <v>30800</v>
      </c>
      <c r="BU6" s="3">
        <v>30526</v>
      </c>
      <c r="BV6" s="3">
        <v>32057</v>
      </c>
      <c r="BW6" s="3">
        <v>31408</v>
      </c>
      <c r="BX6" s="3">
        <v>31524</v>
      </c>
      <c r="BY6" s="3">
        <v>30174</v>
      </c>
      <c r="BZ6" s="3">
        <v>29945</v>
      </c>
      <c r="CA6" s="3">
        <v>28736</v>
      </c>
      <c r="CB6" s="3">
        <v>29161</v>
      </c>
      <c r="CC6" s="3">
        <v>27841</v>
      </c>
      <c r="CD6" s="3">
        <v>27790</v>
      </c>
      <c r="CE6" s="3">
        <v>26939</v>
      </c>
      <c r="CF6" s="6">
        <v>25447</v>
      </c>
      <c r="CG6" s="7">
        <v>23895</v>
      </c>
      <c r="CH6" s="7">
        <v>23470</v>
      </c>
      <c r="CI6" s="7">
        <v>17762</v>
      </c>
      <c r="CJ6" s="7">
        <v>16641</v>
      </c>
      <c r="CK6" s="7">
        <v>14948</v>
      </c>
      <c r="CL6" s="7">
        <v>12331</v>
      </c>
      <c r="CM6" s="7">
        <v>10412</v>
      </c>
      <c r="CN6" s="7">
        <v>8795</v>
      </c>
      <c r="CO6" s="7">
        <v>7163</v>
      </c>
      <c r="CP6" s="7">
        <v>5892</v>
      </c>
      <c r="CQ6" s="7">
        <v>4505</v>
      </c>
      <c r="CR6" s="7">
        <v>3389</v>
      </c>
      <c r="CS6" s="7">
        <v>2461</v>
      </c>
      <c r="CT6" s="7">
        <v>1739</v>
      </c>
      <c r="CU6" s="7">
        <v>1269</v>
      </c>
      <c r="CV6" s="7">
        <v>791</v>
      </c>
      <c r="CW6" s="7">
        <v>520</v>
      </c>
      <c r="CX6" s="7">
        <v>330</v>
      </c>
      <c r="CY6" s="7">
        <v>218</v>
      </c>
      <c r="CZ6" s="7">
        <v>113</v>
      </c>
    </row>
    <row r="7" spans="1:104" x14ac:dyDescent="0.3">
      <c r="A7" s="2" t="s">
        <v>1</v>
      </c>
      <c r="C7" s="7">
        <v>57087</v>
      </c>
      <c r="D7" s="7">
        <v>57412</v>
      </c>
      <c r="E7" s="7">
        <v>56616</v>
      </c>
      <c r="F7" s="7">
        <v>57773</v>
      </c>
      <c r="G7" s="7">
        <v>60258</v>
      </c>
      <c r="H7" s="7">
        <v>60480</v>
      </c>
      <c r="I7" s="7">
        <v>59796</v>
      </c>
      <c r="J7" s="7">
        <v>61507</v>
      </c>
      <c r="K7" s="7">
        <v>62868</v>
      </c>
      <c r="L7" s="7">
        <v>62287</v>
      </c>
      <c r="M7" s="7">
        <v>62021</v>
      </c>
      <c r="N7" s="7">
        <v>61725</v>
      </c>
      <c r="O7" s="7">
        <v>62652</v>
      </c>
      <c r="P7" s="7">
        <v>63418</v>
      </c>
      <c r="Q7" s="7">
        <v>63418</v>
      </c>
      <c r="R7" s="7">
        <v>61708</v>
      </c>
      <c r="S7" s="7">
        <v>60038</v>
      </c>
      <c r="T7" s="7">
        <v>56969</v>
      </c>
      <c r="U7" s="7">
        <v>55704</v>
      </c>
      <c r="V7" s="7">
        <v>54624</v>
      </c>
      <c r="W7" s="7">
        <v>54052</v>
      </c>
      <c r="X7" s="7">
        <v>53880</v>
      </c>
      <c r="Y7" s="7">
        <v>55202</v>
      </c>
      <c r="Z7" s="7">
        <v>54968</v>
      </c>
      <c r="AA7" s="7">
        <v>55804</v>
      </c>
      <c r="AB7" s="7">
        <v>56438</v>
      </c>
      <c r="AC7" s="7">
        <v>56856</v>
      </c>
      <c r="AD7" s="7">
        <v>56320</v>
      </c>
      <c r="AE7" s="7">
        <v>58837</v>
      </c>
      <c r="AF7" s="7">
        <v>61802</v>
      </c>
      <c r="AG7" s="7">
        <v>65305</v>
      </c>
      <c r="AH7" s="7">
        <v>66519</v>
      </c>
      <c r="AI7" s="7">
        <v>69374</v>
      </c>
      <c r="AJ7" s="7">
        <v>70352</v>
      </c>
      <c r="AK7" s="7">
        <v>69846</v>
      </c>
      <c r="AL7" s="7">
        <v>72334</v>
      </c>
      <c r="AM7" s="7">
        <v>71969</v>
      </c>
      <c r="AN7" s="7">
        <v>70389</v>
      </c>
      <c r="AO7" s="7">
        <v>70643</v>
      </c>
      <c r="AP7" s="7">
        <v>69793</v>
      </c>
      <c r="AQ7" s="7">
        <v>68968</v>
      </c>
      <c r="AR7" s="7">
        <v>66374</v>
      </c>
      <c r="AS7" s="7">
        <v>65057</v>
      </c>
      <c r="AT7" s="7">
        <v>64422</v>
      </c>
      <c r="AU7" s="7">
        <v>63857</v>
      </c>
      <c r="AV7" s="7">
        <v>64332</v>
      </c>
      <c r="AW7" s="7">
        <v>63824</v>
      </c>
      <c r="AX7" s="7">
        <v>63055</v>
      </c>
      <c r="AY7" s="7">
        <v>63830</v>
      </c>
      <c r="AZ7" s="7">
        <v>62608</v>
      </c>
      <c r="BA7" s="7">
        <v>61407</v>
      </c>
      <c r="BB7" s="7">
        <v>61068</v>
      </c>
      <c r="BC7" s="7">
        <v>60139</v>
      </c>
      <c r="BD7" s="7">
        <v>57666</v>
      </c>
      <c r="BE7" s="7">
        <v>58870</v>
      </c>
      <c r="BF7" s="7">
        <v>59083</v>
      </c>
      <c r="BG7" s="7">
        <v>60031</v>
      </c>
      <c r="BH7" s="7">
        <v>61243</v>
      </c>
      <c r="BI7" s="7">
        <v>63471</v>
      </c>
      <c r="BJ7" s="7">
        <v>56678</v>
      </c>
      <c r="BK7" s="3">
        <v>54278</v>
      </c>
      <c r="BL7" s="3">
        <v>47936</v>
      </c>
      <c r="BM7" s="3">
        <v>43904</v>
      </c>
      <c r="BN7" s="3">
        <v>38133</v>
      </c>
      <c r="BO7" s="3">
        <v>39365</v>
      </c>
      <c r="BP7" s="3">
        <v>37756</v>
      </c>
      <c r="BQ7" s="3">
        <v>36030</v>
      </c>
      <c r="BR7" s="3">
        <v>34033</v>
      </c>
      <c r="BS7" s="3">
        <v>32414</v>
      </c>
      <c r="BT7" s="3">
        <v>30767</v>
      </c>
      <c r="BU7" s="3">
        <v>30265</v>
      </c>
      <c r="BV7" s="3">
        <v>29907</v>
      </c>
      <c r="BW7" s="3">
        <v>31368</v>
      </c>
      <c r="BX7" s="3">
        <v>30685</v>
      </c>
      <c r="BY7" s="3">
        <v>30720</v>
      </c>
      <c r="BZ7" s="3">
        <v>29308</v>
      </c>
      <c r="CA7" s="3">
        <v>28993</v>
      </c>
      <c r="CB7" s="3">
        <v>27690</v>
      </c>
      <c r="CC7" s="3">
        <v>28004</v>
      </c>
      <c r="CD7" s="3">
        <v>26625</v>
      </c>
      <c r="CE7" s="3">
        <v>26375</v>
      </c>
      <c r="CF7" s="6">
        <v>25279</v>
      </c>
      <c r="CG7" s="7">
        <v>23823</v>
      </c>
      <c r="CH7" s="7">
        <v>22200</v>
      </c>
      <c r="CI7" s="7">
        <v>21581</v>
      </c>
      <c r="CJ7" s="7">
        <v>16148</v>
      </c>
      <c r="CK7" s="7">
        <v>15049</v>
      </c>
      <c r="CL7" s="7">
        <v>13260</v>
      </c>
      <c r="CM7" s="7">
        <v>10767</v>
      </c>
      <c r="CN7" s="7">
        <v>8950</v>
      </c>
      <c r="CO7" s="7">
        <v>7393</v>
      </c>
      <c r="CP7" s="7">
        <v>5907</v>
      </c>
      <c r="CQ7" s="7">
        <v>4815</v>
      </c>
      <c r="CR7" s="7">
        <v>3519</v>
      </c>
      <c r="CS7" s="7">
        <v>2609</v>
      </c>
      <c r="CT7" s="7">
        <v>1880</v>
      </c>
      <c r="CU7" s="7">
        <v>1269</v>
      </c>
      <c r="CV7" s="7">
        <v>892</v>
      </c>
      <c r="CW7" s="7">
        <v>555</v>
      </c>
      <c r="CX7" s="7">
        <v>363</v>
      </c>
      <c r="CY7" s="7">
        <v>222</v>
      </c>
      <c r="CZ7" s="7">
        <v>139</v>
      </c>
    </row>
    <row r="8" spans="1:104" x14ac:dyDescent="0.3">
      <c r="A8" s="2" t="s">
        <v>2</v>
      </c>
      <c r="C8" s="7">
        <v>56973</v>
      </c>
      <c r="D8" s="7">
        <v>57756</v>
      </c>
      <c r="E8" s="7">
        <v>57865</v>
      </c>
      <c r="F8" s="7">
        <v>56793</v>
      </c>
      <c r="G8" s="7">
        <v>57996</v>
      </c>
      <c r="H8" s="7">
        <v>60432</v>
      </c>
      <c r="I8" s="7">
        <v>60711</v>
      </c>
      <c r="J8" s="7">
        <v>60063</v>
      </c>
      <c r="K8" s="7">
        <v>61772</v>
      </c>
      <c r="L8" s="7">
        <v>63130</v>
      </c>
      <c r="M8" s="7">
        <v>62562</v>
      </c>
      <c r="N8" s="7">
        <v>62265</v>
      </c>
      <c r="O8" s="7">
        <v>61952</v>
      </c>
      <c r="P8" s="7">
        <v>62871</v>
      </c>
      <c r="Q8" s="7">
        <v>63670</v>
      </c>
      <c r="R8" s="7">
        <v>63662</v>
      </c>
      <c r="S8" s="7">
        <v>61946</v>
      </c>
      <c r="T8" s="7">
        <v>60309</v>
      </c>
      <c r="U8" s="7">
        <v>57236</v>
      </c>
      <c r="V8" s="7">
        <v>56022</v>
      </c>
      <c r="W8" s="7">
        <v>54963</v>
      </c>
      <c r="X8" s="7">
        <v>54352</v>
      </c>
      <c r="Y8" s="7">
        <v>54340</v>
      </c>
      <c r="Z8" s="7">
        <v>55837</v>
      </c>
      <c r="AA8" s="7">
        <v>55516</v>
      </c>
      <c r="AB8" s="7">
        <v>56512</v>
      </c>
      <c r="AC8" s="7">
        <v>57184</v>
      </c>
      <c r="AD8" s="7">
        <v>57572</v>
      </c>
      <c r="AE8" s="7">
        <v>57017</v>
      </c>
      <c r="AF8" s="7">
        <v>59526</v>
      </c>
      <c r="AG8" s="7">
        <v>62407</v>
      </c>
      <c r="AH8" s="7">
        <v>65809</v>
      </c>
      <c r="AI8" s="7">
        <v>66992</v>
      </c>
      <c r="AJ8" s="7">
        <v>69890</v>
      </c>
      <c r="AK8" s="7">
        <v>70781</v>
      </c>
      <c r="AL8" s="7">
        <v>70262</v>
      </c>
      <c r="AM8" s="7">
        <v>72628</v>
      </c>
      <c r="AN8" s="7">
        <v>72285</v>
      </c>
      <c r="AO8" s="7">
        <v>70648</v>
      </c>
      <c r="AP8" s="7">
        <v>70832</v>
      </c>
      <c r="AQ8" s="7">
        <v>69941</v>
      </c>
      <c r="AR8" s="7">
        <v>69099</v>
      </c>
      <c r="AS8" s="7">
        <v>66538</v>
      </c>
      <c r="AT8" s="7">
        <v>65207</v>
      </c>
      <c r="AU8" s="7">
        <v>64485</v>
      </c>
      <c r="AV8" s="7">
        <v>63948</v>
      </c>
      <c r="AW8" s="7">
        <v>64354</v>
      </c>
      <c r="AX8" s="7">
        <v>63864</v>
      </c>
      <c r="AY8" s="7">
        <v>63013</v>
      </c>
      <c r="AZ8" s="7">
        <v>63729</v>
      </c>
      <c r="BA8" s="7">
        <v>62521</v>
      </c>
      <c r="BB8" s="7">
        <v>61269</v>
      </c>
      <c r="BC8" s="7">
        <v>60922</v>
      </c>
      <c r="BD8" s="7">
        <v>59979</v>
      </c>
      <c r="BE8" s="7">
        <v>57454</v>
      </c>
      <c r="BF8" s="7">
        <v>58643</v>
      </c>
      <c r="BG8" s="7">
        <v>58818</v>
      </c>
      <c r="BH8" s="7">
        <v>59738</v>
      </c>
      <c r="BI8" s="7">
        <v>60901</v>
      </c>
      <c r="BJ8" s="7">
        <v>63066</v>
      </c>
      <c r="BK8" s="3">
        <v>56289</v>
      </c>
      <c r="BL8" s="3">
        <v>53872</v>
      </c>
      <c r="BM8" s="3">
        <v>47493</v>
      </c>
      <c r="BN8" s="3">
        <v>43527</v>
      </c>
      <c r="BO8" s="3">
        <v>37741</v>
      </c>
      <c r="BP8" s="3">
        <v>38906</v>
      </c>
      <c r="BQ8" s="3">
        <v>37353</v>
      </c>
      <c r="BR8" s="3">
        <v>35594</v>
      </c>
      <c r="BS8" s="3">
        <v>33542</v>
      </c>
      <c r="BT8" s="3">
        <v>31906</v>
      </c>
      <c r="BU8" s="3">
        <v>30232</v>
      </c>
      <c r="BV8" s="3">
        <v>29669</v>
      </c>
      <c r="BW8" s="3">
        <v>29341</v>
      </c>
      <c r="BX8" s="3">
        <v>30658</v>
      </c>
      <c r="BY8" s="3">
        <v>29886</v>
      </c>
      <c r="BZ8" s="3">
        <v>29838</v>
      </c>
      <c r="CA8" s="3">
        <v>28362</v>
      </c>
      <c r="CB8" s="3">
        <v>27981</v>
      </c>
      <c r="CC8" s="3">
        <v>26607</v>
      </c>
      <c r="CD8" s="3">
        <v>26718</v>
      </c>
      <c r="CE8" s="3">
        <v>25302</v>
      </c>
      <c r="CF8" s="6">
        <v>24919</v>
      </c>
      <c r="CG8" s="7">
        <v>23693</v>
      </c>
      <c r="CH8" s="7">
        <v>22183</v>
      </c>
      <c r="CI8" s="7">
        <v>20553</v>
      </c>
      <c r="CJ8" s="7">
        <v>19674</v>
      </c>
      <c r="CK8" s="7">
        <v>14462</v>
      </c>
      <c r="CL8" s="7">
        <v>13409</v>
      </c>
      <c r="CM8" s="7">
        <v>11614</v>
      </c>
      <c r="CN8" s="7">
        <v>9275</v>
      </c>
      <c r="CO8" s="7">
        <v>7558</v>
      </c>
      <c r="CP8" s="7">
        <v>6100</v>
      </c>
      <c r="CQ8" s="7">
        <v>4792</v>
      </c>
      <c r="CR8" s="7">
        <v>3851</v>
      </c>
      <c r="CS8" s="7">
        <v>2715</v>
      </c>
      <c r="CT8" s="7">
        <v>1964</v>
      </c>
      <c r="CU8" s="7">
        <v>1346</v>
      </c>
      <c r="CV8" s="7">
        <v>935</v>
      </c>
      <c r="CW8" s="7">
        <v>600</v>
      </c>
      <c r="CX8" s="7">
        <v>387</v>
      </c>
      <c r="CY8" s="7">
        <v>225</v>
      </c>
      <c r="CZ8" s="7">
        <v>137</v>
      </c>
    </row>
    <row r="9" spans="1:104" x14ac:dyDescent="0.3">
      <c r="A9" s="2" t="s">
        <v>3</v>
      </c>
      <c r="C9" s="7">
        <v>58731</v>
      </c>
      <c r="D9" s="7">
        <v>57704</v>
      </c>
      <c r="E9" s="7">
        <v>58242</v>
      </c>
      <c r="F9" s="7">
        <v>58105</v>
      </c>
      <c r="G9" s="7">
        <v>57003</v>
      </c>
      <c r="H9" s="7">
        <v>58264</v>
      </c>
      <c r="I9" s="7">
        <v>60663</v>
      </c>
      <c r="J9" s="7">
        <v>60949</v>
      </c>
      <c r="K9" s="7">
        <v>60340</v>
      </c>
      <c r="L9" s="7">
        <v>61978</v>
      </c>
      <c r="M9" s="7">
        <v>63386</v>
      </c>
      <c r="N9" s="7">
        <v>62774</v>
      </c>
      <c r="O9" s="7">
        <v>62512</v>
      </c>
      <c r="P9" s="7">
        <v>62225</v>
      </c>
      <c r="Q9" s="7">
        <v>63055</v>
      </c>
      <c r="R9" s="7">
        <v>63883</v>
      </c>
      <c r="S9" s="7">
        <v>63925</v>
      </c>
      <c r="T9" s="7">
        <v>62264</v>
      </c>
      <c r="U9" s="7">
        <v>60587</v>
      </c>
      <c r="V9" s="7">
        <v>57611</v>
      </c>
      <c r="W9" s="7">
        <v>56372</v>
      </c>
      <c r="X9" s="7">
        <v>55322</v>
      </c>
      <c r="Y9" s="7">
        <v>54936</v>
      </c>
      <c r="Z9" s="7">
        <v>55152</v>
      </c>
      <c r="AA9" s="7">
        <v>56715</v>
      </c>
      <c r="AB9" s="7">
        <v>56419</v>
      </c>
      <c r="AC9" s="7">
        <v>57600</v>
      </c>
      <c r="AD9" s="7">
        <v>58268</v>
      </c>
      <c r="AE9" s="7">
        <v>58605</v>
      </c>
      <c r="AF9" s="7">
        <v>57946</v>
      </c>
      <c r="AG9" s="7">
        <v>60416</v>
      </c>
      <c r="AH9" s="7">
        <v>63115</v>
      </c>
      <c r="AI9" s="7">
        <v>66494</v>
      </c>
      <c r="AJ9" s="7">
        <v>67535</v>
      </c>
      <c r="AK9" s="7">
        <v>70448</v>
      </c>
      <c r="AL9" s="7">
        <v>71313</v>
      </c>
      <c r="AM9" s="7">
        <v>70756</v>
      </c>
      <c r="AN9" s="7">
        <v>73087</v>
      </c>
      <c r="AO9" s="7">
        <v>72655</v>
      </c>
      <c r="AP9" s="7">
        <v>70993</v>
      </c>
      <c r="AQ9" s="7">
        <v>71108</v>
      </c>
      <c r="AR9" s="7">
        <v>70220</v>
      </c>
      <c r="AS9" s="7">
        <v>69348</v>
      </c>
      <c r="AT9" s="7">
        <v>66731</v>
      </c>
      <c r="AU9" s="7">
        <v>65392</v>
      </c>
      <c r="AV9" s="7">
        <v>64626</v>
      </c>
      <c r="AW9" s="7">
        <v>64068</v>
      </c>
      <c r="AX9" s="7">
        <v>64402</v>
      </c>
      <c r="AY9" s="7">
        <v>63959</v>
      </c>
      <c r="AZ9" s="7">
        <v>63014</v>
      </c>
      <c r="BA9" s="7">
        <v>63748</v>
      </c>
      <c r="BB9" s="7">
        <v>62470</v>
      </c>
      <c r="BC9" s="7">
        <v>61186</v>
      </c>
      <c r="BD9" s="7">
        <v>60794</v>
      </c>
      <c r="BE9" s="7">
        <v>59831</v>
      </c>
      <c r="BF9" s="7">
        <v>57287</v>
      </c>
      <c r="BG9" s="7">
        <v>58418</v>
      </c>
      <c r="BH9" s="7">
        <v>58550</v>
      </c>
      <c r="BI9" s="7">
        <v>59433</v>
      </c>
      <c r="BJ9" s="7">
        <v>60544</v>
      </c>
      <c r="BK9" s="3">
        <v>62656</v>
      </c>
      <c r="BL9" s="3">
        <v>55856</v>
      </c>
      <c r="BM9" s="3">
        <v>53403</v>
      </c>
      <c r="BN9" s="3">
        <v>47026</v>
      </c>
      <c r="BO9" s="3">
        <v>43119</v>
      </c>
      <c r="BP9" s="3">
        <v>37359</v>
      </c>
      <c r="BQ9" s="3">
        <v>38491</v>
      </c>
      <c r="BR9" s="3">
        <v>36884</v>
      </c>
      <c r="BS9" s="3">
        <v>35089</v>
      </c>
      <c r="BT9" s="3">
        <v>33010</v>
      </c>
      <c r="BU9" s="3">
        <v>31444</v>
      </c>
      <c r="BV9" s="3">
        <v>29735</v>
      </c>
      <c r="BW9" s="3">
        <v>29056</v>
      </c>
      <c r="BX9" s="3">
        <v>28662</v>
      </c>
      <c r="BY9" s="3">
        <v>29929</v>
      </c>
      <c r="BZ9" s="3">
        <v>29050</v>
      </c>
      <c r="CA9" s="3">
        <v>28931</v>
      </c>
      <c r="CB9" s="3">
        <v>27418</v>
      </c>
      <c r="CC9" s="3">
        <v>26938</v>
      </c>
      <c r="CD9" s="3">
        <v>25439</v>
      </c>
      <c r="CE9" s="3">
        <v>25448</v>
      </c>
      <c r="CF9" s="6">
        <v>23926</v>
      </c>
      <c r="CG9" s="7">
        <v>23379</v>
      </c>
      <c r="CH9" s="7">
        <v>21985</v>
      </c>
      <c r="CI9" s="7">
        <v>20454</v>
      </c>
      <c r="CJ9" s="7">
        <v>18695</v>
      </c>
      <c r="CK9" s="7">
        <v>17742</v>
      </c>
      <c r="CL9" s="7">
        <v>12884</v>
      </c>
      <c r="CM9" s="7">
        <v>11782</v>
      </c>
      <c r="CN9" s="7">
        <v>10004</v>
      </c>
      <c r="CO9" s="7">
        <v>7804</v>
      </c>
      <c r="CP9" s="7">
        <v>6293</v>
      </c>
      <c r="CQ9" s="7">
        <v>4933</v>
      </c>
      <c r="CR9" s="7">
        <v>3786</v>
      </c>
      <c r="CS9" s="7">
        <v>3017</v>
      </c>
      <c r="CT9" s="7">
        <v>2027</v>
      </c>
      <c r="CU9" s="7">
        <v>1445</v>
      </c>
      <c r="CV9" s="7">
        <v>915</v>
      </c>
      <c r="CW9" s="7">
        <v>641</v>
      </c>
      <c r="CX9" s="7">
        <v>399</v>
      </c>
      <c r="CY9" s="7">
        <v>255</v>
      </c>
      <c r="CZ9" s="7">
        <v>155</v>
      </c>
    </row>
    <row r="10" spans="1:104" x14ac:dyDescent="0.3">
      <c r="A10" s="2" t="s">
        <v>4</v>
      </c>
      <c r="C10" s="7">
        <v>58625</v>
      </c>
      <c r="D10" s="7">
        <v>59541</v>
      </c>
      <c r="E10" s="7">
        <v>58391</v>
      </c>
      <c r="F10" s="7">
        <v>58695</v>
      </c>
      <c r="G10" s="7">
        <v>58551</v>
      </c>
      <c r="H10" s="7">
        <v>57361</v>
      </c>
      <c r="I10" s="7">
        <v>58605</v>
      </c>
      <c r="J10" s="7">
        <v>61031</v>
      </c>
      <c r="K10" s="7">
        <v>61273</v>
      </c>
      <c r="L10" s="7">
        <v>60691</v>
      </c>
      <c r="M10" s="7">
        <v>62364</v>
      </c>
      <c r="N10" s="7">
        <v>63736</v>
      </c>
      <c r="O10" s="7">
        <v>63142</v>
      </c>
      <c r="P10" s="7">
        <v>62824</v>
      </c>
      <c r="Q10" s="7">
        <v>62547</v>
      </c>
      <c r="R10" s="7">
        <v>63352</v>
      </c>
      <c r="S10" s="7">
        <v>64210</v>
      </c>
      <c r="T10" s="7">
        <v>64340</v>
      </c>
      <c r="U10" s="7">
        <v>62574</v>
      </c>
      <c r="V10" s="7">
        <v>61093</v>
      </c>
      <c r="W10" s="7">
        <v>58239</v>
      </c>
      <c r="X10" s="7">
        <v>57121</v>
      </c>
      <c r="Y10" s="7">
        <v>56352</v>
      </c>
      <c r="Z10" s="7">
        <v>56185</v>
      </c>
      <c r="AA10" s="7">
        <v>56678</v>
      </c>
      <c r="AB10" s="7">
        <v>58352</v>
      </c>
      <c r="AC10" s="7">
        <v>58324</v>
      </c>
      <c r="AD10" s="7">
        <v>59490</v>
      </c>
      <c r="AE10" s="7">
        <v>60032</v>
      </c>
      <c r="AF10" s="7">
        <v>60159</v>
      </c>
      <c r="AG10" s="7">
        <v>59389</v>
      </c>
      <c r="AH10" s="7">
        <v>61764</v>
      </c>
      <c r="AI10" s="7">
        <v>64340</v>
      </c>
      <c r="AJ10" s="7">
        <v>67611</v>
      </c>
      <c r="AK10" s="7">
        <v>68544</v>
      </c>
      <c r="AL10" s="7">
        <v>71397</v>
      </c>
      <c r="AM10" s="7">
        <v>72203</v>
      </c>
      <c r="AN10" s="7">
        <v>71583</v>
      </c>
      <c r="AO10" s="7">
        <v>73781</v>
      </c>
      <c r="AP10" s="7">
        <v>73324</v>
      </c>
      <c r="AQ10" s="7">
        <v>71624</v>
      </c>
      <c r="AR10" s="7">
        <v>71651</v>
      </c>
      <c r="AS10" s="7">
        <v>70746</v>
      </c>
      <c r="AT10" s="7">
        <v>69774</v>
      </c>
      <c r="AU10" s="7">
        <v>67191</v>
      </c>
      <c r="AV10" s="7">
        <v>65755</v>
      </c>
      <c r="AW10" s="7">
        <v>64947</v>
      </c>
      <c r="AX10" s="7">
        <v>64361</v>
      </c>
      <c r="AY10" s="7">
        <v>64638</v>
      </c>
      <c r="AZ10" s="7">
        <v>64093</v>
      </c>
      <c r="BA10" s="7">
        <v>63172</v>
      </c>
      <c r="BB10" s="7">
        <v>63858</v>
      </c>
      <c r="BC10" s="7">
        <v>62487</v>
      </c>
      <c r="BD10" s="7">
        <v>61154</v>
      </c>
      <c r="BE10" s="7">
        <v>60721</v>
      </c>
      <c r="BF10" s="7">
        <v>59724</v>
      </c>
      <c r="BG10" s="7">
        <v>57128</v>
      </c>
      <c r="BH10" s="7">
        <v>58211</v>
      </c>
      <c r="BI10" s="7">
        <v>58315</v>
      </c>
      <c r="BJ10" s="7">
        <v>59145</v>
      </c>
      <c r="BK10" s="3">
        <v>60147</v>
      </c>
      <c r="BL10" s="3">
        <v>62261</v>
      </c>
      <c r="BM10" s="3">
        <v>55450</v>
      </c>
      <c r="BN10" s="3">
        <v>52927</v>
      </c>
      <c r="BO10" s="3">
        <v>46569</v>
      </c>
      <c r="BP10" s="3">
        <v>42620</v>
      </c>
      <c r="BQ10" s="3">
        <v>36960</v>
      </c>
      <c r="BR10" s="3">
        <v>37979</v>
      </c>
      <c r="BS10" s="3">
        <v>36356</v>
      </c>
      <c r="BT10" s="3">
        <v>34585</v>
      </c>
      <c r="BU10" s="3">
        <v>32474</v>
      </c>
      <c r="BV10" s="3">
        <v>30925</v>
      </c>
      <c r="BW10" s="3">
        <v>29131</v>
      </c>
      <c r="BX10" s="3">
        <v>28449</v>
      </c>
      <c r="BY10" s="3">
        <v>27951</v>
      </c>
      <c r="BZ10" s="3">
        <v>29069</v>
      </c>
      <c r="CA10" s="3">
        <v>28163</v>
      </c>
      <c r="CB10" s="3">
        <v>27911</v>
      </c>
      <c r="CC10" s="3">
        <v>26339</v>
      </c>
      <c r="CD10" s="3">
        <v>25802</v>
      </c>
      <c r="CE10" s="3">
        <v>24150</v>
      </c>
      <c r="CF10" s="6">
        <v>24071</v>
      </c>
      <c r="CG10" s="7">
        <v>22427</v>
      </c>
      <c r="CH10" s="7">
        <v>21703</v>
      </c>
      <c r="CI10" s="7">
        <v>20256</v>
      </c>
      <c r="CJ10" s="7">
        <v>18651</v>
      </c>
      <c r="CK10" s="7">
        <v>16827</v>
      </c>
      <c r="CL10" s="7">
        <v>15781</v>
      </c>
      <c r="CM10" s="7">
        <v>11310</v>
      </c>
      <c r="CN10" s="7">
        <v>10146</v>
      </c>
      <c r="CO10" s="7">
        <v>8457</v>
      </c>
      <c r="CP10" s="7">
        <v>6460</v>
      </c>
      <c r="CQ10" s="7">
        <v>5121</v>
      </c>
      <c r="CR10" s="7">
        <v>3904</v>
      </c>
      <c r="CS10" s="7">
        <v>2916</v>
      </c>
      <c r="CT10" s="7">
        <v>2267</v>
      </c>
      <c r="CU10" s="7">
        <v>1472</v>
      </c>
      <c r="CV10" s="7">
        <v>1020</v>
      </c>
      <c r="CW10" s="7">
        <v>607</v>
      </c>
      <c r="CX10" s="7">
        <v>432</v>
      </c>
      <c r="CY10" s="7">
        <v>250</v>
      </c>
      <c r="CZ10" s="7">
        <v>143</v>
      </c>
    </row>
    <row r="11" spans="1:104" x14ac:dyDescent="0.3">
      <c r="A11" s="2" t="s">
        <v>5</v>
      </c>
      <c r="C11" s="7">
        <v>60673</v>
      </c>
      <c r="D11" s="7">
        <v>59470</v>
      </c>
      <c r="E11" s="7">
        <v>60250</v>
      </c>
      <c r="F11" s="7">
        <v>58889</v>
      </c>
      <c r="G11" s="7">
        <v>59178</v>
      </c>
      <c r="H11" s="7">
        <v>58991</v>
      </c>
      <c r="I11" s="7">
        <v>57785</v>
      </c>
      <c r="J11" s="7">
        <v>59044</v>
      </c>
      <c r="K11" s="7">
        <v>61440</v>
      </c>
      <c r="L11" s="7">
        <v>61677</v>
      </c>
      <c r="M11" s="7">
        <v>61119</v>
      </c>
      <c r="N11" s="7">
        <v>62820</v>
      </c>
      <c r="O11" s="7">
        <v>64125</v>
      </c>
      <c r="P11" s="7">
        <v>63539</v>
      </c>
      <c r="Q11" s="7">
        <v>63216</v>
      </c>
      <c r="R11" s="7">
        <v>62909</v>
      </c>
      <c r="S11" s="7">
        <v>63755</v>
      </c>
      <c r="T11" s="7">
        <v>64601</v>
      </c>
      <c r="U11" s="7">
        <v>64754</v>
      </c>
      <c r="V11" s="7">
        <v>63195</v>
      </c>
      <c r="W11" s="7">
        <v>61741</v>
      </c>
      <c r="X11" s="7">
        <v>59107</v>
      </c>
      <c r="Y11" s="7">
        <v>58294</v>
      </c>
      <c r="Z11" s="7">
        <v>57772</v>
      </c>
      <c r="AA11" s="7">
        <v>57822</v>
      </c>
      <c r="AB11" s="7">
        <v>58584</v>
      </c>
      <c r="AC11" s="7">
        <v>60379</v>
      </c>
      <c r="AD11" s="7">
        <v>60261</v>
      </c>
      <c r="AE11" s="7">
        <v>61500</v>
      </c>
      <c r="AF11" s="7">
        <v>61860</v>
      </c>
      <c r="AG11" s="7">
        <v>61789</v>
      </c>
      <c r="AH11" s="7">
        <v>60760</v>
      </c>
      <c r="AI11" s="7">
        <v>63105</v>
      </c>
      <c r="AJ11" s="7">
        <v>65475</v>
      </c>
      <c r="AK11" s="7">
        <v>68712</v>
      </c>
      <c r="AL11" s="7">
        <v>69590</v>
      </c>
      <c r="AM11" s="7">
        <v>72326</v>
      </c>
      <c r="AN11" s="7">
        <v>73115</v>
      </c>
      <c r="AO11" s="7">
        <v>72362</v>
      </c>
      <c r="AP11" s="7">
        <v>74450</v>
      </c>
      <c r="AQ11" s="7">
        <v>73995</v>
      </c>
      <c r="AR11" s="7">
        <v>72241</v>
      </c>
      <c r="AS11" s="7">
        <v>72190</v>
      </c>
      <c r="AT11" s="7">
        <v>71205</v>
      </c>
      <c r="AU11" s="7">
        <v>70201</v>
      </c>
      <c r="AV11" s="7">
        <v>67617</v>
      </c>
      <c r="AW11" s="7">
        <v>66120</v>
      </c>
      <c r="AX11" s="7">
        <v>65240</v>
      </c>
      <c r="AY11" s="7">
        <v>64598</v>
      </c>
      <c r="AZ11" s="7">
        <v>64854</v>
      </c>
      <c r="BA11" s="7">
        <v>64280</v>
      </c>
      <c r="BB11" s="7">
        <v>63250</v>
      </c>
      <c r="BC11" s="7">
        <v>63854</v>
      </c>
      <c r="BD11" s="7">
        <v>62486</v>
      </c>
      <c r="BE11" s="7">
        <v>61089</v>
      </c>
      <c r="BF11" s="7">
        <v>60616</v>
      </c>
      <c r="BG11" s="7">
        <v>59578</v>
      </c>
      <c r="BH11" s="7">
        <v>56948</v>
      </c>
      <c r="BI11" s="7">
        <v>57934</v>
      </c>
      <c r="BJ11" s="7">
        <v>58049</v>
      </c>
      <c r="BK11" s="3">
        <v>58777</v>
      </c>
      <c r="BL11" s="3">
        <v>59781</v>
      </c>
      <c r="BM11" s="3">
        <v>61763</v>
      </c>
      <c r="BN11" s="3">
        <v>54893</v>
      </c>
      <c r="BO11" s="3">
        <v>52447</v>
      </c>
      <c r="BP11" s="3">
        <v>46089</v>
      </c>
      <c r="BQ11" s="3">
        <v>42109</v>
      </c>
      <c r="BR11" s="3">
        <v>36500</v>
      </c>
      <c r="BS11" s="3">
        <v>37427</v>
      </c>
      <c r="BT11" s="3">
        <v>35844</v>
      </c>
      <c r="BU11" s="3">
        <v>34100</v>
      </c>
      <c r="BV11" s="3">
        <v>31906</v>
      </c>
      <c r="BW11" s="3">
        <v>30331</v>
      </c>
      <c r="BX11" s="3">
        <v>28465</v>
      </c>
      <c r="BY11" s="3">
        <v>27804</v>
      </c>
      <c r="BZ11" s="3">
        <v>27191</v>
      </c>
      <c r="CA11" s="3">
        <v>28255</v>
      </c>
      <c r="CB11" s="3">
        <v>27220</v>
      </c>
      <c r="CC11" s="3">
        <v>26811</v>
      </c>
      <c r="CD11" s="3">
        <v>25129</v>
      </c>
      <c r="CE11" s="3">
        <v>24588</v>
      </c>
      <c r="CF11" s="6">
        <v>22827</v>
      </c>
      <c r="CG11" s="7">
        <v>22651</v>
      </c>
      <c r="CH11" s="7">
        <v>20903</v>
      </c>
      <c r="CI11" s="7">
        <v>20005</v>
      </c>
      <c r="CJ11" s="7">
        <v>18474</v>
      </c>
      <c r="CK11" s="7">
        <v>16876</v>
      </c>
      <c r="CL11" s="7">
        <v>14917</v>
      </c>
      <c r="CM11" s="7">
        <v>13855</v>
      </c>
      <c r="CN11" s="7">
        <v>9876</v>
      </c>
      <c r="CO11" s="7">
        <v>8642</v>
      </c>
      <c r="CP11" s="7">
        <v>7023</v>
      </c>
      <c r="CQ11" s="7">
        <v>5191</v>
      </c>
      <c r="CR11" s="7">
        <v>4096</v>
      </c>
      <c r="CS11" s="7">
        <v>3025</v>
      </c>
      <c r="CT11" s="7">
        <v>2225</v>
      </c>
      <c r="CU11" s="7">
        <v>1648</v>
      </c>
      <c r="CV11" s="7">
        <v>1060</v>
      </c>
      <c r="CW11" s="7">
        <v>699</v>
      </c>
      <c r="CX11" s="7">
        <v>409</v>
      </c>
      <c r="CY11" s="7">
        <v>272</v>
      </c>
      <c r="CZ11" s="7">
        <v>152</v>
      </c>
    </row>
    <row r="12" spans="1:104" x14ac:dyDescent="0.3">
      <c r="A12" s="2" t="s">
        <v>6</v>
      </c>
      <c r="C12" s="7">
        <v>62064</v>
      </c>
      <c r="D12" s="7">
        <v>61562</v>
      </c>
      <c r="E12" s="7">
        <v>60148</v>
      </c>
      <c r="F12" s="7">
        <v>60806</v>
      </c>
      <c r="G12" s="7">
        <v>59348</v>
      </c>
      <c r="H12" s="7">
        <v>59669</v>
      </c>
      <c r="I12" s="7">
        <v>59350</v>
      </c>
      <c r="J12" s="7">
        <v>58171</v>
      </c>
      <c r="K12" s="7">
        <v>59433</v>
      </c>
      <c r="L12" s="7">
        <v>61850</v>
      </c>
      <c r="M12" s="7">
        <v>62096</v>
      </c>
      <c r="N12" s="7">
        <v>61525</v>
      </c>
      <c r="O12" s="7">
        <v>63221</v>
      </c>
      <c r="P12" s="7">
        <v>64524</v>
      </c>
      <c r="Q12" s="7">
        <v>63958</v>
      </c>
      <c r="R12" s="7">
        <v>63617</v>
      </c>
      <c r="S12" s="7">
        <v>63431</v>
      </c>
      <c r="T12" s="7">
        <v>64383</v>
      </c>
      <c r="U12" s="7">
        <v>65191</v>
      </c>
      <c r="V12" s="7">
        <v>65410</v>
      </c>
      <c r="W12" s="7">
        <v>63792</v>
      </c>
      <c r="X12" s="7">
        <v>62611</v>
      </c>
      <c r="Y12" s="7">
        <v>60124</v>
      </c>
      <c r="Z12" s="7">
        <v>59648</v>
      </c>
      <c r="AA12" s="7">
        <v>59339</v>
      </c>
      <c r="AB12" s="7">
        <v>59685</v>
      </c>
      <c r="AC12" s="7">
        <v>60488</v>
      </c>
      <c r="AD12" s="7">
        <v>62108</v>
      </c>
      <c r="AE12" s="7">
        <v>61790</v>
      </c>
      <c r="AF12" s="7">
        <v>63032</v>
      </c>
      <c r="AG12" s="7">
        <v>63125</v>
      </c>
      <c r="AH12" s="7">
        <v>62973</v>
      </c>
      <c r="AI12" s="7">
        <v>61723</v>
      </c>
      <c r="AJ12" s="7">
        <v>63961</v>
      </c>
      <c r="AK12" s="7">
        <v>66376</v>
      </c>
      <c r="AL12" s="7">
        <v>69483</v>
      </c>
      <c r="AM12" s="7">
        <v>70265</v>
      </c>
      <c r="AN12" s="7">
        <v>72936</v>
      </c>
      <c r="AO12" s="7">
        <v>73657</v>
      </c>
      <c r="AP12" s="7">
        <v>72962</v>
      </c>
      <c r="AQ12" s="7">
        <v>74893</v>
      </c>
      <c r="AR12" s="7">
        <v>74417</v>
      </c>
      <c r="AS12" s="7">
        <v>72656</v>
      </c>
      <c r="AT12" s="7">
        <v>72535</v>
      </c>
      <c r="AU12" s="7">
        <v>71518</v>
      </c>
      <c r="AV12" s="7">
        <v>70506</v>
      </c>
      <c r="AW12" s="7">
        <v>67819</v>
      </c>
      <c r="AX12" s="7">
        <v>66310</v>
      </c>
      <c r="AY12" s="7">
        <v>65378</v>
      </c>
      <c r="AZ12" s="7">
        <v>64663</v>
      </c>
      <c r="BA12" s="7">
        <v>64953</v>
      </c>
      <c r="BB12" s="7">
        <v>64316</v>
      </c>
      <c r="BC12" s="7">
        <v>63182</v>
      </c>
      <c r="BD12" s="7">
        <v>63810</v>
      </c>
      <c r="BE12" s="7">
        <v>62338</v>
      </c>
      <c r="BF12" s="7">
        <v>60983</v>
      </c>
      <c r="BG12" s="7">
        <v>60411</v>
      </c>
      <c r="BH12" s="7">
        <v>59424</v>
      </c>
      <c r="BI12" s="7">
        <v>56698</v>
      </c>
      <c r="BJ12" s="7">
        <v>57699</v>
      </c>
      <c r="BK12" s="3">
        <v>57769</v>
      </c>
      <c r="BL12" s="3">
        <v>58419</v>
      </c>
      <c r="BM12" s="3">
        <v>59376</v>
      </c>
      <c r="BN12" s="3">
        <v>61233</v>
      </c>
      <c r="BO12" s="3">
        <v>54385</v>
      </c>
      <c r="BP12" s="3">
        <v>51940</v>
      </c>
      <c r="BQ12" s="3">
        <v>45590</v>
      </c>
      <c r="BR12" s="3">
        <v>41604</v>
      </c>
      <c r="BS12" s="3">
        <v>36003</v>
      </c>
      <c r="BT12" s="3">
        <v>36924</v>
      </c>
      <c r="BU12" s="3">
        <v>35286</v>
      </c>
      <c r="BV12" s="3">
        <v>33533</v>
      </c>
      <c r="BW12" s="3">
        <v>31359</v>
      </c>
      <c r="BX12" s="3">
        <v>29737</v>
      </c>
      <c r="BY12" s="3">
        <v>27819</v>
      </c>
      <c r="BZ12" s="3">
        <v>27092</v>
      </c>
      <c r="CA12" s="3">
        <v>26416</v>
      </c>
      <c r="CB12" s="3">
        <v>27376</v>
      </c>
      <c r="CC12" s="3">
        <v>26236</v>
      </c>
      <c r="CD12" s="3">
        <v>25736</v>
      </c>
      <c r="CE12" s="3">
        <v>23930</v>
      </c>
      <c r="CF12" s="6">
        <v>23300</v>
      </c>
      <c r="CG12" s="7">
        <v>21482</v>
      </c>
      <c r="CH12" s="7">
        <v>21128</v>
      </c>
      <c r="CI12" s="7">
        <v>19311</v>
      </c>
      <c r="CJ12" s="7">
        <v>18305</v>
      </c>
      <c r="CK12" s="7">
        <v>16650</v>
      </c>
      <c r="CL12" s="7">
        <v>15105</v>
      </c>
      <c r="CM12" s="7">
        <v>13132</v>
      </c>
      <c r="CN12" s="7">
        <v>12024</v>
      </c>
      <c r="CO12" s="7">
        <v>8412</v>
      </c>
      <c r="CP12" s="7">
        <v>7251</v>
      </c>
      <c r="CQ12" s="7">
        <v>5703</v>
      </c>
      <c r="CR12" s="7">
        <v>4167</v>
      </c>
      <c r="CS12" s="7">
        <v>3185</v>
      </c>
      <c r="CT12" s="7">
        <v>2314</v>
      </c>
      <c r="CU12" s="7">
        <v>1609</v>
      </c>
      <c r="CV12" s="7">
        <v>1167</v>
      </c>
      <c r="CW12" s="7">
        <v>744</v>
      </c>
      <c r="CX12" s="7">
        <v>467</v>
      </c>
      <c r="CY12" s="7">
        <v>256</v>
      </c>
      <c r="CZ12" s="7">
        <v>175</v>
      </c>
    </row>
    <row r="13" spans="1:104" x14ac:dyDescent="0.3">
      <c r="A13" s="2" t="s">
        <v>7</v>
      </c>
      <c r="C13" s="7">
        <v>61652</v>
      </c>
      <c r="D13" s="7">
        <v>62961</v>
      </c>
      <c r="E13" s="7">
        <v>62266</v>
      </c>
      <c r="F13" s="7">
        <v>60766</v>
      </c>
      <c r="G13" s="7">
        <v>61181</v>
      </c>
      <c r="H13" s="7">
        <v>59750</v>
      </c>
      <c r="I13" s="7">
        <v>60029</v>
      </c>
      <c r="J13" s="7">
        <v>59692</v>
      </c>
      <c r="K13" s="7">
        <v>58535</v>
      </c>
      <c r="L13" s="7">
        <v>59773</v>
      </c>
      <c r="M13" s="7">
        <v>62213</v>
      </c>
      <c r="N13" s="7">
        <v>62493</v>
      </c>
      <c r="O13" s="7">
        <v>61903</v>
      </c>
      <c r="P13" s="7">
        <v>63578</v>
      </c>
      <c r="Q13" s="7">
        <v>64917</v>
      </c>
      <c r="R13" s="7">
        <v>64315</v>
      </c>
      <c r="S13" s="7">
        <v>64133</v>
      </c>
      <c r="T13" s="7">
        <v>64217</v>
      </c>
      <c r="U13" s="7">
        <v>64994</v>
      </c>
      <c r="V13" s="7">
        <v>65965</v>
      </c>
      <c r="W13" s="7">
        <v>66363</v>
      </c>
      <c r="X13" s="7">
        <v>65010</v>
      </c>
      <c r="Y13" s="7">
        <v>64081</v>
      </c>
      <c r="Z13" s="7">
        <v>61883</v>
      </c>
      <c r="AA13" s="7">
        <v>61679</v>
      </c>
      <c r="AB13" s="7">
        <v>61421</v>
      </c>
      <c r="AC13" s="7">
        <v>61828</v>
      </c>
      <c r="AD13" s="7">
        <v>62510</v>
      </c>
      <c r="AE13" s="7">
        <v>63990</v>
      </c>
      <c r="AF13" s="7">
        <v>63361</v>
      </c>
      <c r="AG13" s="7">
        <v>64463</v>
      </c>
      <c r="AH13" s="7">
        <v>64224</v>
      </c>
      <c r="AI13" s="7">
        <v>64065</v>
      </c>
      <c r="AJ13" s="7">
        <v>62835</v>
      </c>
      <c r="AK13" s="7">
        <v>64888</v>
      </c>
      <c r="AL13" s="7">
        <v>67157</v>
      </c>
      <c r="AM13" s="7">
        <v>70292</v>
      </c>
      <c r="AN13" s="7">
        <v>70891</v>
      </c>
      <c r="AO13" s="7">
        <v>73522</v>
      </c>
      <c r="AP13" s="7">
        <v>74177</v>
      </c>
      <c r="AQ13" s="7">
        <v>73447</v>
      </c>
      <c r="AR13" s="7">
        <v>75351</v>
      </c>
      <c r="AS13" s="7">
        <v>74840</v>
      </c>
      <c r="AT13" s="7">
        <v>73004</v>
      </c>
      <c r="AU13" s="7">
        <v>72841</v>
      </c>
      <c r="AV13" s="7">
        <v>71777</v>
      </c>
      <c r="AW13" s="7">
        <v>70795</v>
      </c>
      <c r="AX13" s="7">
        <v>68023</v>
      </c>
      <c r="AY13" s="7">
        <v>66487</v>
      </c>
      <c r="AZ13" s="7">
        <v>65409</v>
      </c>
      <c r="BA13" s="7">
        <v>64743</v>
      </c>
      <c r="BB13" s="7">
        <v>64954</v>
      </c>
      <c r="BC13" s="7">
        <v>64320</v>
      </c>
      <c r="BD13" s="7">
        <v>63132</v>
      </c>
      <c r="BE13" s="7">
        <v>63716</v>
      </c>
      <c r="BF13" s="7">
        <v>62204</v>
      </c>
      <c r="BG13" s="7">
        <v>60819</v>
      </c>
      <c r="BH13" s="7">
        <v>60194</v>
      </c>
      <c r="BI13" s="7">
        <v>59201</v>
      </c>
      <c r="BJ13" s="7">
        <v>56424</v>
      </c>
      <c r="BK13" s="3">
        <v>57401</v>
      </c>
      <c r="BL13" s="3">
        <v>57417</v>
      </c>
      <c r="BM13" s="3">
        <v>58007</v>
      </c>
      <c r="BN13" s="3">
        <v>58866</v>
      </c>
      <c r="BO13" s="3">
        <v>60717</v>
      </c>
      <c r="BP13" s="3">
        <v>53848</v>
      </c>
      <c r="BQ13" s="3">
        <v>51358</v>
      </c>
      <c r="BR13" s="3">
        <v>45030</v>
      </c>
      <c r="BS13" s="3">
        <v>41064</v>
      </c>
      <c r="BT13" s="3">
        <v>35467</v>
      </c>
      <c r="BU13" s="3">
        <v>36408</v>
      </c>
      <c r="BV13" s="3">
        <v>34674</v>
      </c>
      <c r="BW13" s="3">
        <v>32930</v>
      </c>
      <c r="BX13" s="3">
        <v>30705</v>
      </c>
      <c r="BY13" s="3">
        <v>29059</v>
      </c>
      <c r="BZ13" s="3">
        <v>27119</v>
      </c>
      <c r="CA13" s="3">
        <v>26294</v>
      </c>
      <c r="CB13" s="3">
        <v>25552</v>
      </c>
      <c r="CC13" s="3">
        <v>26423</v>
      </c>
      <c r="CD13" s="3">
        <v>25159</v>
      </c>
      <c r="CE13" s="3">
        <v>24596</v>
      </c>
      <c r="CF13" s="6">
        <v>22659</v>
      </c>
      <c r="CG13" s="7">
        <v>21975</v>
      </c>
      <c r="CH13" s="7">
        <v>20065</v>
      </c>
      <c r="CI13" s="7">
        <v>19536</v>
      </c>
      <c r="CJ13" s="7">
        <v>17764</v>
      </c>
      <c r="CK13" s="7">
        <v>16620</v>
      </c>
      <c r="CL13" s="7">
        <v>14922</v>
      </c>
      <c r="CM13" s="7">
        <v>13353</v>
      </c>
      <c r="CN13" s="7">
        <v>11412</v>
      </c>
      <c r="CO13" s="7">
        <v>10272</v>
      </c>
      <c r="CP13" s="7">
        <v>7021</v>
      </c>
      <c r="CQ13" s="7">
        <v>5945</v>
      </c>
      <c r="CR13" s="7">
        <v>4542</v>
      </c>
      <c r="CS13" s="7">
        <v>3232</v>
      </c>
      <c r="CT13" s="7">
        <v>2425</v>
      </c>
      <c r="CU13" s="7">
        <v>1695</v>
      </c>
      <c r="CV13" s="7">
        <v>1151</v>
      </c>
      <c r="CW13" s="7">
        <v>797</v>
      </c>
      <c r="CX13" s="7">
        <v>517</v>
      </c>
      <c r="CY13" s="7">
        <v>279</v>
      </c>
      <c r="CZ13" s="7">
        <v>155</v>
      </c>
    </row>
    <row r="14" spans="1:104" x14ac:dyDescent="0.3">
      <c r="A14" s="2" t="s">
        <v>8</v>
      </c>
      <c r="C14" s="7">
        <v>60466</v>
      </c>
      <c r="D14" s="7">
        <v>62521</v>
      </c>
      <c r="E14" s="7">
        <v>63713</v>
      </c>
      <c r="F14" s="7">
        <v>62810</v>
      </c>
      <c r="G14" s="7">
        <v>61257</v>
      </c>
      <c r="H14" s="7">
        <v>61671</v>
      </c>
      <c r="I14" s="7">
        <v>60120</v>
      </c>
      <c r="J14" s="7">
        <v>60433</v>
      </c>
      <c r="K14" s="7">
        <v>60010</v>
      </c>
      <c r="L14" s="7">
        <v>58835</v>
      </c>
      <c r="M14" s="7">
        <v>60108</v>
      </c>
      <c r="N14" s="7">
        <v>62572</v>
      </c>
      <c r="O14" s="7">
        <v>62843</v>
      </c>
      <c r="P14" s="7">
        <v>62235</v>
      </c>
      <c r="Q14" s="7">
        <v>63981</v>
      </c>
      <c r="R14" s="7">
        <v>65272</v>
      </c>
      <c r="S14" s="7">
        <v>64773</v>
      </c>
      <c r="T14" s="7">
        <v>64605</v>
      </c>
      <c r="U14" s="7">
        <v>64728</v>
      </c>
      <c r="V14" s="7">
        <v>65612</v>
      </c>
      <c r="W14" s="7">
        <v>66759</v>
      </c>
      <c r="X14" s="7">
        <v>67449</v>
      </c>
      <c r="Y14" s="7">
        <v>66517</v>
      </c>
      <c r="Z14" s="7">
        <v>65892</v>
      </c>
      <c r="AA14" s="7">
        <v>63978</v>
      </c>
      <c r="AB14" s="7">
        <v>64070</v>
      </c>
      <c r="AC14" s="7">
        <v>63726</v>
      </c>
      <c r="AD14" s="7">
        <v>64007</v>
      </c>
      <c r="AE14" s="7">
        <v>64595</v>
      </c>
      <c r="AF14" s="7">
        <v>65794</v>
      </c>
      <c r="AG14" s="7">
        <v>64971</v>
      </c>
      <c r="AH14" s="7">
        <v>65951</v>
      </c>
      <c r="AI14" s="7">
        <v>65610</v>
      </c>
      <c r="AJ14" s="7">
        <v>65286</v>
      </c>
      <c r="AK14" s="7">
        <v>64021</v>
      </c>
      <c r="AL14" s="7">
        <v>65990</v>
      </c>
      <c r="AM14" s="7">
        <v>68144</v>
      </c>
      <c r="AN14" s="7">
        <v>71168</v>
      </c>
      <c r="AO14" s="7">
        <v>71710</v>
      </c>
      <c r="AP14" s="7">
        <v>74323</v>
      </c>
      <c r="AQ14" s="7">
        <v>74816</v>
      </c>
      <c r="AR14" s="7">
        <v>74100</v>
      </c>
      <c r="AS14" s="7">
        <v>75934</v>
      </c>
      <c r="AT14" s="7">
        <v>75345</v>
      </c>
      <c r="AU14" s="7">
        <v>73455</v>
      </c>
      <c r="AV14" s="7">
        <v>73166</v>
      </c>
      <c r="AW14" s="7">
        <v>72166</v>
      </c>
      <c r="AX14" s="7">
        <v>71060</v>
      </c>
      <c r="AY14" s="7">
        <v>68262</v>
      </c>
      <c r="AZ14" s="7">
        <v>66703</v>
      </c>
      <c r="BA14" s="7">
        <v>65579</v>
      </c>
      <c r="BB14" s="7">
        <v>64843</v>
      </c>
      <c r="BC14" s="7">
        <v>65031</v>
      </c>
      <c r="BD14" s="7">
        <v>64353</v>
      </c>
      <c r="BE14" s="7">
        <v>63107</v>
      </c>
      <c r="BF14" s="7">
        <v>63647</v>
      </c>
      <c r="BG14" s="7">
        <v>62092</v>
      </c>
      <c r="BH14" s="7">
        <v>60615</v>
      </c>
      <c r="BI14" s="7">
        <v>60000</v>
      </c>
      <c r="BJ14" s="7">
        <v>58909</v>
      </c>
      <c r="BK14" s="3">
        <v>56148</v>
      </c>
      <c r="BL14" s="3">
        <v>57079</v>
      </c>
      <c r="BM14" s="3">
        <v>56980</v>
      </c>
      <c r="BN14" s="3">
        <v>57519</v>
      </c>
      <c r="BO14" s="3">
        <v>58421</v>
      </c>
      <c r="BP14" s="3">
        <v>60105</v>
      </c>
      <c r="BQ14" s="3">
        <v>53308</v>
      </c>
      <c r="BR14" s="3">
        <v>50715</v>
      </c>
      <c r="BS14" s="3">
        <v>44481</v>
      </c>
      <c r="BT14" s="3">
        <v>40497</v>
      </c>
      <c r="BU14" s="3">
        <v>34957</v>
      </c>
      <c r="BV14" s="3">
        <v>35828</v>
      </c>
      <c r="BW14" s="3">
        <v>34080</v>
      </c>
      <c r="BX14" s="3">
        <v>32292</v>
      </c>
      <c r="BY14" s="3">
        <v>29967</v>
      </c>
      <c r="BZ14" s="3">
        <v>28331</v>
      </c>
      <c r="CA14" s="3">
        <v>26385</v>
      </c>
      <c r="CB14" s="3">
        <v>25462</v>
      </c>
      <c r="CC14" s="3">
        <v>24650</v>
      </c>
      <c r="CD14" s="3">
        <v>25373</v>
      </c>
      <c r="CE14" s="3">
        <v>24032</v>
      </c>
      <c r="CF14" s="6">
        <v>23302</v>
      </c>
      <c r="CG14" s="7">
        <v>21417</v>
      </c>
      <c r="CH14" s="7">
        <v>20584</v>
      </c>
      <c r="CI14" s="7">
        <v>18583</v>
      </c>
      <c r="CJ14" s="7">
        <v>17941</v>
      </c>
      <c r="CK14" s="7">
        <v>16085</v>
      </c>
      <c r="CL14" s="7">
        <v>14856</v>
      </c>
      <c r="CM14" s="7">
        <v>13198</v>
      </c>
      <c r="CN14" s="7">
        <v>11644</v>
      </c>
      <c r="CO14" s="7">
        <v>9790</v>
      </c>
      <c r="CP14" s="7">
        <v>8547</v>
      </c>
      <c r="CQ14" s="7">
        <v>5734</v>
      </c>
      <c r="CR14" s="7">
        <v>4773</v>
      </c>
      <c r="CS14" s="7">
        <v>3541</v>
      </c>
      <c r="CT14" s="7">
        <v>2455</v>
      </c>
      <c r="CU14" s="7">
        <v>1775</v>
      </c>
      <c r="CV14" s="7">
        <v>1215</v>
      </c>
      <c r="CW14" s="7">
        <v>816</v>
      </c>
      <c r="CX14" s="7">
        <v>559</v>
      </c>
      <c r="CY14" s="7">
        <v>345</v>
      </c>
      <c r="CZ14" s="7">
        <v>170</v>
      </c>
    </row>
    <row r="15" spans="1:104" x14ac:dyDescent="0.3">
      <c r="A15" s="2" t="s">
        <v>9</v>
      </c>
      <c r="C15" s="7">
        <v>60530</v>
      </c>
      <c r="D15" s="7">
        <v>61429</v>
      </c>
      <c r="E15" s="7">
        <v>63427</v>
      </c>
      <c r="F15" s="7">
        <v>64443</v>
      </c>
      <c r="G15" s="7">
        <v>63386</v>
      </c>
      <c r="H15" s="7">
        <v>61799</v>
      </c>
      <c r="I15" s="7">
        <v>62108</v>
      </c>
      <c r="J15" s="7">
        <v>60523</v>
      </c>
      <c r="K15" s="7">
        <v>60829</v>
      </c>
      <c r="L15" s="7">
        <v>60443</v>
      </c>
      <c r="M15" s="7">
        <v>59183</v>
      </c>
      <c r="N15" s="7">
        <v>60443</v>
      </c>
      <c r="O15" s="7">
        <v>62980</v>
      </c>
      <c r="P15" s="7">
        <v>63258</v>
      </c>
      <c r="Q15" s="7">
        <v>62603</v>
      </c>
      <c r="R15" s="7">
        <v>64403</v>
      </c>
      <c r="S15" s="7">
        <v>65791</v>
      </c>
      <c r="T15" s="7">
        <v>65319</v>
      </c>
      <c r="U15" s="7">
        <v>65092</v>
      </c>
      <c r="V15" s="7">
        <v>65464</v>
      </c>
      <c r="W15" s="7">
        <v>66551</v>
      </c>
      <c r="X15" s="7">
        <v>67722</v>
      </c>
      <c r="Y15" s="7">
        <v>68764</v>
      </c>
      <c r="Z15" s="7">
        <v>68177</v>
      </c>
      <c r="AA15" s="7">
        <v>67833</v>
      </c>
      <c r="AB15" s="7">
        <v>66302</v>
      </c>
      <c r="AC15" s="7">
        <v>66475</v>
      </c>
      <c r="AD15" s="7">
        <v>65969</v>
      </c>
      <c r="AE15" s="7">
        <v>66110</v>
      </c>
      <c r="AF15" s="7">
        <v>66577</v>
      </c>
      <c r="AG15" s="7">
        <v>67640</v>
      </c>
      <c r="AH15" s="7">
        <v>66474</v>
      </c>
      <c r="AI15" s="7">
        <v>67363</v>
      </c>
      <c r="AJ15" s="7">
        <v>66967</v>
      </c>
      <c r="AK15" s="7">
        <v>66525</v>
      </c>
      <c r="AL15" s="7">
        <v>65156</v>
      </c>
      <c r="AM15" s="7">
        <v>66950</v>
      </c>
      <c r="AN15" s="7">
        <v>68999</v>
      </c>
      <c r="AO15" s="7">
        <v>71955</v>
      </c>
      <c r="AP15" s="7">
        <v>72507</v>
      </c>
      <c r="AQ15" s="7">
        <v>74981</v>
      </c>
      <c r="AR15" s="7">
        <v>75350</v>
      </c>
      <c r="AS15" s="7">
        <v>74619</v>
      </c>
      <c r="AT15" s="7">
        <v>76351</v>
      </c>
      <c r="AU15" s="7">
        <v>75751</v>
      </c>
      <c r="AV15" s="7">
        <v>73756</v>
      </c>
      <c r="AW15" s="7">
        <v>73424</v>
      </c>
      <c r="AX15" s="7">
        <v>72386</v>
      </c>
      <c r="AY15" s="7">
        <v>71232</v>
      </c>
      <c r="AZ15" s="7">
        <v>68420</v>
      </c>
      <c r="BA15" s="7">
        <v>66765</v>
      </c>
      <c r="BB15" s="7">
        <v>65667</v>
      </c>
      <c r="BC15" s="7">
        <v>64881</v>
      </c>
      <c r="BD15" s="7">
        <v>65045</v>
      </c>
      <c r="BE15" s="7">
        <v>64321</v>
      </c>
      <c r="BF15" s="7">
        <v>63008</v>
      </c>
      <c r="BG15" s="7">
        <v>63549</v>
      </c>
      <c r="BH15" s="7">
        <v>61916</v>
      </c>
      <c r="BI15" s="7">
        <v>60395</v>
      </c>
      <c r="BJ15" s="7">
        <v>59729</v>
      </c>
      <c r="BK15" s="3">
        <v>58593</v>
      </c>
      <c r="BL15" s="3">
        <v>55819</v>
      </c>
      <c r="BM15" s="3">
        <v>56635</v>
      </c>
      <c r="BN15" s="3">
        <v>56572</v>
      </c>
      <c r="BO15" s="3">
        <v>57027</v>
      </c>
      <c r="BP15" s="3">
        <v>57881</v>
      </c>
      <c r="BQ15" s="3">
        <v>59521</v>
      </c>
      <c r="BR15" s="3">
        <v>52635</v>
      </c>
      <c r="BS15" s="3">
        <v>50065</v>
      </c>
      <c r="BT15" s="3">
        <v>43870</v>
      </c>
      <c r="BU15" s="3">
        <v>39912</v>
      </c>
      <c r="BV15" s="3">
        <v>34395</v>
      </c>
      <c r="BW15" s="3">
        <v>35123</v>
      </c>
      <c r="BX15" s="3">
        <v>33396</v>
      </c>
      <c r="BY15" s="3">
        <v>31578</v>
      </c>
      <c r="BZ15" s="3">
        <v>29256</v>
      </c>
      <c r="CA15" s="3">
        <v>27565</v>
      </c>
      <c r="CB15" s="3">
        <v>25629</v>
      </c>
      <c r="CC15" s="3">
        <v>24571</v>
      </c>
      <c r="CD15" s="3">
        <v>23632</v>
      </c>
      <c r="CE15" s="3">
        <v>24263</v>
      </c>
      <c r="CF15" s="6">
        <v>22864</v>
      </c>
      <c r="CG15" s="7">
        <v>21958</v>
      </c>
      <c r="CH15" s="7">
        <v>19932</v>
      </c>
      <c r="CI15" s="7">
        <v>19051</v>
      </c>
      <c r="CJ15" s="7">
        <v>17072</v>
      </c>
      <c r="CK15" s="7">
        <v>16317</v>
      </c>
      <c r="CL15" s="7">
        <v>14425</v>
      </c>
      <c r="CM15" s="7">
        <v>13118</v>
      </c>
      <c r="CN15" s="7">
        <v>11524</v>
      </c>
      <c r="CO15" s="7">
        <v>9834</v>
      </c>
      <c r="CP15" s="7">
        <v>8212</v>
      </c>
      <c r="CQ15" s="7">
        <v>6951</v>
      </c>
      <c r="CR15" s="7">
        <v>4551</v>
      </c>
      <c r="CS15" s="7">
        <v>3670</v>
      </c>
      <c r="CT15" s="7">
        <v>2681</v>
      </c>
      <c r="CU15" s="7">
        <v>1765</v>
      </c>
      <c r="CV15" s="7">
        <v>1249</v>
      </c>
      <c r="CW15" s="7">
        <v>820</v>
      </c>
      <c r="CX15" s="7">
        <v>529</v>
      </c>
      <c r="CY15" s="7">
        <v>368</v>
      </c>
      <c r="CZ15" s="7">
        <v>214</v>
      </c>
    </row>
    <row r="16" spans="1:104" x14ac:dyDescent="0.3">
      <c r="A16" s="2" t="s">
        <v>10</v>
      </c>
      <c r="C16" s="7">
        <v>59335</v>
      </c>
      <c r="D16" s="7">
        <v>61440</v>
      </c>
      <c r="E16" s="7">
        <v>62184</v>
      </c>
      <c r="F16" s="7">
        <v>63986</v>
      </c>
      <c r="G16" s="7">
        <v>64967</v>
      </c>
      <c r="H16" s="7">
        <v>63832</v>
      </c>
      <c r="I16" s="7">
        <v>62246</v>
      </c>
      <c r="J16" s="7">
        <v>62481</v>
      </c>
      <c r="K16" s="7">
        <v>60940</v>
      </c>
      <c r="L16" s="7">
        <v>61251</v>
      </c>
      <c r="M16" s="7">
        <v>60806</v>
      </c>
      <c r="N16" s="7">
        <v>59602</v>
      </c>
      <c r="O16" s="7">
        <v>60751</v>
      </c>
      <c r="P16" s="7">
        <v>63382</v>
      </c>
      <c r="Q16" s="7">
        <v>63642</v>
      </c>
      <c r="R16" s="7">
        <v>63016</v>
      </c>
      <c r="S16" s="7">
        <v>64924</v>
      </c>
      <c r="T16" s="7">
        <v>66376</v>
      </c>
      <c r="U16" s="7">
        <v>65841</v>
      </c>
      <c r="V16" s="7">
        <v>65648</v>
      </c>
      <c r="W16" s="7">
        <v>66036</v>
      </c>
      <c r="X16" s="7">
        <v>67429</v>
      </c>
      <c r="Y16" s="7">
        <v>68914</v>
      </c>
      <c r="Z16" s="7">
        <v>70223</v>
      </c>
      <c r="AA16" s="7">
        <v>69826</v>
      </c>
      <c r="AB16" s="7">
        <v>69776</v>
      </c>
      <c r="AC16" s="7">
        <v>68209</v>
      </c>
      <c r="AD16" s="7">
        <v>68551</v>
      </c>
      <c r="AE16" s="7">
        <v>67905</v>
      </c>
      <c r="AF16" s="7">
        <v>67895</v>
      </c>
      <c r="AG16" s="7">
        <v>68131</v>
      </c>
      <c r="AH16" s="7">
        <v>68899</v>
      </c>
      <c r="AI16" s="7">
        <v>67629</v>
      </c>
      <c r="AJ16" s="7">
        <v>68426</v>
      </c>
      <c r="AK16" s="7">
        <v>67978</v>
      </c>
      <c r="AL16" s="7">
        <v>67464</v>
      </c>
      <c r="AM16" s="7">
        <v>65964</v>
      </c>
      <c r="AN16" s="7">
        <v>67671</v>
      </c>
      <c r="AO16" s="7">
        <v>69612</v>
      </c>
      <c r="AP16" s="7">
        <v>72617</v>
      </c>
      <c r="AQ16" s="7">
        <v>73013</v>
      </c>
      <c r="AR16" s="7">
        <v>75465</v>
      </c>
      <c r="AS16" s="7">
        <v>75748</v>
      </c>
      <c r="AT16" s="7">
        <v>74966</v>
      </c>
      <c r="AU16" s="7">
        <v>76614</v>
      </c>
      <c r="AV16" s="7">
        <v>75939</v>
      </c>
      <c r="AW16" s="7">
        <v>73903</v>
      </c>
      <c r="AX16" s="7">
        <v>73589</v>
      </c>
      <c r="AY16" s="7">
        <v>72490</v>
      </c>
      <c r="AZ16" s="7">
        <v>71307</v>
      </c>
      <c r="BA16" s="7">
        <v>68397</v>
      </c>
      <c r="BB16" s="7">
        <v>66725</v>
      </c>
      <c r="BC16" s="7">
        <v>65586</v>
      </c>
      <c r="BD16" s="7">
        <v>64813</v>
      </c>
      <c r="BE16" s="7">
        <v>64934</v>
      </c>
      <c r="BF16" s="7">
        <v>64151</v>
      </c>
      <c r="BG16" s="7">
        <v>62769</v>
      </c>
      <c r="BH16" s="7">
        <v>63291</v>
      </c>
      <c r="BI16" s="7">
        <v>61605</v>
      </c>
      <c r="BJ16" s="7">
        <v>60103</v>
      </c>
      <c r="BK16" s="3">
        <v>59357</v>
      </c>
      <c r="BL16" s="3">
        <v>58230</v>
      </c>
      <c r="BM16" s="3">
        <v>55433</v>
      </c>
      <c r="BN16" s="3">
        <v>56168</v>
      </c>
      <c r="BO16" s="3">
        <v>56097</v>
      </c>
      <c r="BP16" s="3">
        <v>56520</v>
      </c>
      <c r="BQ16" s="3">
        <v>57316</v>
      </c>
      <c r="BR16" s="3">
        <v>58825</v>
      </c>
      <c r="BS16" s="3">
        <v>51950</v>
      </c>
      <c r="BT16" s="3">
        <v>49364</v>
      </c>
      <c r="BU16" s="3">
        <v>43244</v>
      </c>
      <c r="BV16" s="3">
        <v>39343</v>
      </c>
      <c r="BW16" s="3">
        <v>33778</v>
      </c>
      <c r="BX16" s="3">
        <v>34465</v>
      </c>
      <c r="BY16" s="3">
        <v>32643</v>
      </c>
      <c r="BZ16" s="3">
        <v>30814</v>
      </c>
      <c r="CA16" s="3">
        <v>28493</v>
      </c>
      <c r="CB16" s="3">
        <v>26674</v>
      </c>
      <c r="CC16" s="3">
        <v>24759</v>
      </c>
      <c r="CD16" s="3">
        <v>23610</v>
      </c>
      <c r="CE16" s="3">
        <v>22609</v>
      </c>
      <c r="CF16" s="6">
        <v>23055</v>
      </c>
      <c r="CG16" s="7">
        <v>21574</v>
      </c>
      <c r="CH16" s="7">
        <v>20641</v>
      </c>
      <c r="CI16" s="7">
        <v>18531</v>
      </c>
      <c r="CJ16" s="7">
        <v>17479</v>
      </c>
      <c r="CK16" s="7">
        <v>15514</v>
      </c>
      <c r="CL16" s="7">
        <v>14664</v>
      </c>
      <c r="CM16" s="7">
        <v>12809</v>
      </c>
      <c r="CN16" s="7">
        <v>11489</v>
      </c>
      <c r="CO16" s="7">
        <v>9840</v>
      </c>
      <c r="CP16" s="7">
        <v>8312</v>
      </c>
      <c r="CQ16" s="7">
        <v>6805</v>
      </c>
      <c r="CR16" s="7">
        <v>5610</v>
      </c>
      <c r="CS16" s="7">
        <v>3579</v>
      </c>
      <c r="CT16" s="7">
        <v>2766</v>
      </c>
      <c r="CU16" s="7">
        <v>1969</v>
      </c>
      <c r="CV16" s="7">
        <v>1258</v>
      </c>
      <c r="CW16" s="7">
        <v>854</v>
      </c>
      <c r="CX16" s="7">
        <v>573</v>
      </c>
      <c r="CY16" s="7">
        <v>343</v>
      </c>
      <c r="CZ16" s="7">
        <v>235</v>
      </c>
    </row>
    <row r="17" spans="1:104" x14ac:dyDescent="0.3">
      <c r="A17" s="2" t="s">
        <v>11</v>
      </c>
      <c r="C17" s="7">
        <v>59383</v>
      </c>
      <c r="D17" s="7">
        <v>60097</v>
      </c>
      <c r="E17" s="7">
        <v>62083</v>
      </c>
      <c r="F17" s="7">
        <v>62672</v>
      </c>
      <c r="G17" s="7">
        <v>64363</v>
      </c>
      <c r="H17" s="7">
        <v>65356</v>
      </c>
      <c r="I17" s="7">
        <v>64171</v>
      </c>
      <c r="J17" s="7">
        <v>62592</v>
      </c>
      <c r="K17" s="7">
        <v>62815</v>
      </c>
      <c r="L17" s="7">
        <v>61301</v>
      </c>
      <c r="M17" s="7">
        <v>61582</v>
      </c>
      <c r="N17" s="7">
        <v>61163</v>
      </c>
      <c r="O17" s="7">
        <v>59954</v>
      </c>
      <c r="P17" s="7">
        <v>61122</v>
      </c>
      <c r="Q17" s="7">
        <v>63739</v>
      </c>
      <c r="R17" s="7">
        <v>64025</v>
      </c>
      <c r="S17" s="7">
        <v>63655</v>
      </c>
      <c r="T17" s="7">
        <v>65531</v>
      </c>
      <c r="U17" s="7">
        <v>66869</v>
      </c>
      <c r="V17" s="7">
        <v>66426</v>
      </c>
      <c r="W17" s="7">
        <v>66394</v>
      </c>
      <c r="X17" s="7">
        <v>67069</v>
      </c>
      <c r="Y17" s="7">
        <v>68482</v>
      </c>
      <c r="Z17" s="7">
        <v>70277</v>
      </c>
      <c r="AA17" s="7">
        <v>71855</v>
      </c>
      <c r="AB17" s="7">
        <v>71733</v>
      </c>
      <c r="AC17" s="7">
        <v>71826</v>
      </c>
      <c r="AD17" s="7">
        <v>70006</v>
      </c>
      <c r="AE17" s="7">
        <v>70245</v>
      </c>
      <c r="AF17" s="7">
        <v>69510</v>
      </c>
      <c r="AG17" s="7">
        <v>69281</v>
      </c>
      <c r="AH17" s="7">
        <v>69248</v>
      </c>
      <c r="AI17" s="7">
        <v>69912</v>
      </c>
      <c r="AJ17" s="7">
        <v>68569</v>
      </c>
      <c r="AK17" s="7">
        <v>69340</v>
      </c>
      <c r="AL17" s="7">
        <v>68741</v>
      </c>
      <c r="AM17" s="7">
        <v>68197</v>
      </c>
      <c r="AN17" s="7">
        <v>66580</v>
      </c>
      <c r="AO17" s="7">
        <v>68361</v>
      </c>
      <c r="AP17" s="7">
        <v>70164</v>
      </c>
      <c r="AQ17" s="7">
        <v>73106</v>
      </c>
      <c r="AR17" s="7">
        <v>73465</v>
      </c>
      <c r="AS17" s="7">
        <v>75863</v>
      </c>
      <c r="AT17" s="7">
        <v>76064</v>
      </c>
      <c r="AU17" s="7">
        <v>75225</v>
      </c>
      <c r="AV17" s="7">
        <v>76848</v>
      </c>
      <c r="AW17" s="7">
        <v>76069</v>
      </c>
      <c r="AX17" s="7">
        <v>74104</v>
      </c>
      <c r="AY17" s="7">
        <v>73707</v>
      </c>
      <c r="AZ17" s="7">
        <v>72548</v>
      </c>
      <c r="BA17" s="7">
        <v>71330</v>
      </c>
      <c r="BB17" s="7">
        <v>68383</v>
      </c>
      <c r="BC17" s="7">
        <v>66682</v>
      </c>
      <c r="BD17" s="7">
        <v>65504</v>
      </c>
      <c r="BE17" s="7">
        <v>64715</v>
      </c>
      <c r="BF17" s="7">
        <v>64768</v>
      </c>
      <c r="BG17" s="7">
        <v>63982</v>
      </c>
      <c r="BH17" s="7">
        <v>62522</v>
      </c>
      <c r="BI17" s="7">
        <v>63048</v>
      </c>
      <c r="BJ17" s="7">
        <v>61384</v>
      </c>
      <c r="BK17" s="3">
        <v>59818</v>
      </c>
      <c r="BL17" s="3">
        <v>59031</v>
      </c>
      <c r="BM17" s="3">
        <v>57876</v>
      </c>
      <c r="BN17" s="3">
        <v>55020</v>
      </c>
      <c r="BO17" s="3">
        <v>55749</v>
      </c>
      <c r="BP17" s="3">
        <v>55614</v>
      </c>
      <c r="BQ17" s="3">
        <v>55947</v>
      </c>
      <c r="BR17" s="3">
        <v>56720</v>
      </c>
      <c r="BS17" s="3">
        <v>58132</v>
      </c>
      <c r="BT17" s="3">
        <v>51289</v>
      </c>
      <c r="BU17" s="3">
        <v>48678</v>
      </c>
      <c r="BV17" s="3">
        <v>42589</v>
      </c>
      <c r="BW17" s="3">
        <v>38702</v>
      </c>
      <c r="BX17" s="3">
        <v>33154</v>
      </c>
      <c r="BY17" s="3">
        <v>33740</v>
      </c>
      <c r="BZ17" s="3">
        <v>31925</v>
      </c>
      <c r="CA17" s="3">
        <v>29987</v>
      </c>
      <c r="CB17" s="3">
        <v>27688</v>
      </c>
      <c r="CC17" s="3">
        <v>25808</v>
      </c>
      <c r="CD17" s="3">
        <v>23892</v>
      </c>
      <c r="CE17" s="3">
        <v>22645</v>
      </c>
      <c r="CF17" s="6">
        <v>21510</v>
      </c>
      <c r="CG17" s="7">
        <v>21846</v>
      </c>
      <c r="CH17" s="7">
        <v>20256</v>
      </c>
      <c r="CI17" s="7">
        <v>19266</v>
      </c>
      <c r="CJ17" s="7">
        <v>17062</v>
      </c>
      <c r="CK17" s="7">
        <v>15972</v>
      </c>
      <c r="CL17" s="7">
        <v>14057</v>
      </c>
      <c r="CM17" s="7">
        <v>13046</v>
      </c>
      <c r="CN17" s="7">
        <v>11273</v>
      </c>
      <c r="CO17" s="7">
        <v>9904</v>
      </c>
      <c r="CP17" s="7">
        <v>8206</v>
      </c>
      <c r="CQ17" s="7">
        <v>6889</v>
      </c>
      <c r="CR17" s="7">
        <v>5511</v>
      </c>
      <c r="CS17" s="7">
        <v>4414</v>
      </c>
      <c r="CT17" s="7">
        <v>2745</v>
      </c>
      <c r="CU17" s="7">
        <v>2071</v>
      </c>
      <c r="CV17" s="7">
        <v>1436</v>
      </c>
      <c r="CW17" s="7">
        <v>859</v>
      </c>
      <c r="CX17" s="7">
        <v>583</v>
      </c>
      <c r="CY17" s="7">
        <v>377</v>
      </c>
      <c r="CZ17" s="7">
        <v>219</v>
      </c>
    </row>
    <row r="18" spans="1:104" x14ac:dyDescent="0.3">
      <c r="A18" s="2" t="s">
        <v>12</v>
      </c>
      <c r="C18" s="7">
        <v>59396</v>
      </c>
      <c r="D18" s="7">
        <v>60091</v>
      </c>
      <c r="E18" s="7">
        <v>60458</v>
      </c>
      <c r="F18" s="7">
        <v>62469</v>
      </c>
      <c r="G18" s="7">
        <v>62981</v>
      </c>
      <c r="H18" s="7">
        <v>64726</v>
      </c>
      <c r="I18" s="7">
        <v>65679</v>
      </c>
      <c r="J18" s="7">
        <v>64558</v>
      </c>
      <c r="K18" s="7">
        <v>62992</v>
      </c>
      <c r="L18" s="7">
        <v>63226</v>
      </c>
      <c r="M18" s="7">
        <v>61788</v>
      </c>
      <c r="N18" s="7">
        <v>62035</v>
      </c>
      <c r="O18" s="7">
        <v>61560</v>
      </c>
      <c r="P18" s="7">
        <v>60404</v>
      </c>
      <c r="Q18" s="7">
        <v>61592</v>
      </c>
      <c r="R18" s="7">
        <v>64288</v>
      </c>
      <c r="S18" s="7">
        <v>64752</v>
      </c>
      <c r="T18" s="7">
        <v>64407</v>
      </c>
      <c r="U18" s="7">
        <v>66039</v>
      </c>
      <c r="V18" s="7">
        <v>67338</v>
      </c>
      <c r="W18" s="7">
        <v>66964</v>
      </c>
      <c r="X18" s="7">
        <v>67152</v>
      </c>
      <c r="Y18" s="7">
        <v>67837</v>
      </c>
      <c r="Z18" s="7">
        <v>69546</v>
      </c>
      <c r="AA18" s="7">
        <v>71335</v>
      </c>
      <c r="AB18" s="7">
        <v>73276</v>
      </c>
      <c r="AC18" s="7">
        <v>73269</v>
      </c>
      <c r="AD18" s="7">
        <v>73288</v>
      </c>
      <c r="AE18" s="7">
        <v>71228</v>
      </c>
      <c r="AF18" s="7">
        <v>71446</v>
      </c>
      <c r="AG18" s="7">
        <v>70501</v>
      </c>
      <c r="AH18" s="7">
        <v>70128</v>
      </c>
      <c r="AI18" s="7">
        <v>69863</v>
      </c>
      <c r="AJ18" s="7">
        <v>70568</v>
      </c>
      <c r="AK18" s="7">
        <v>69082</v>
      </c>
      <c r="AL18" s="7">
        <v>69977</v>
      </c>
      <c r="AM18" s="7">
        <v>69171</v>
      </c>
      <c r="AN18" s="7">
        <v>68695</v>
      </c>
      <c r="AO18" s="7">
        <v>66978</v>
      </c>
      <c r="AP18" s="7">
        <v>68704</v>
      </c>
      <c r="AQ18" s="7">
        <v>70526</v>
      </c>
      <c r="AR18" s="7">
        <v>73455</v>
      </c>
      <c r="AS18" s="7">
        <v>73719</v>
      </c>
      <c r="AT18" s="7">
        <v>76102</v>
      </c>
      <c r="AU18" s="7">
        <v>76214</v>
      </c>
      <c r="AV18" s="7">
        <v>75396</v>
      </c>
      <c r="AW18" s="7">
        <v>76937</v>
      </c>
      <c r="AX18" s="7">
        <v>76137</v>
      </c>
      <c r="AY18" s="7">
        <v>74127</v>
      </c>
      <c r="AZ18" s="7">
        <v>73674</v>
      </c>
      <c r="BA18" s="7">
        <v>72514</v>
      </c>
      <c r="BB18" s="7">
        <v>71214</v>
      </c>
      <c r="BC18" s="7">
        <v>68319</v>
      </c>
      <c r="BD18" s="7">
        <v>66558</v>
      </c>
      <c r="BE18" s="7">
        <v>65338</v>
      </c>
      <c r="BF18" s="7">
        <v>64531</v>
      </c>
      <c r="BG18" s="7">
        <v>64479</v>
      </c>
      <c r="BH18" s="7">
        <v>63765</v>
      </c>
      <c r="BI18" s="7">
        <v>62246</v>
      </c>
      <c r="BJ18" s="7">
        <v>62763</v>
      </c>
      <c r="BK18" s="3">
        <v>61020</v>
      </c>
      <c r="BL18" s="3">
        <v>59474</v>
      </c>
      <c r="BM18" s="3">
        <v>58572</v>
      </c>
      <c r="BN18" s="3">
        <v>57442</v>
      </c>
      <c r="BO18" s="3">
        <v>54576</v>
      </c>
      <c r="BP18" s="3">
        <v>55289</v>
      </c>
      <c r="BQ18" s="3">
        <v>55115</v>
      </c>
      <c r="BR18" s="3">
        <v>55377</v>
      </c>
      <c r="BS18" s="3">
        <v>56071</v>
      </c>
      <c r="BT18" s="3">
        <v>57375</v>
      </c>
      <c r="BU18" s="3">
        <v>50586</v>
      </c>
      <c r="BV18" s="3">
        <v>47937</v>
      </c>
      <c r="BW18" s="3">
        <v>41883</v>
      </c>
      <c r="BX18" s="3">
        <v>38030</v>
      </c>
      <c r="BY18" s="3">
        <v>32499</v>
      </c>
      <c r="BZ18" s="3">
        <v>32986</v>
      </c>
      <c r="CA18" s="3">
        <v>31107</v>
      </c>
      <c r="CB18" s="3">
        <v>29133</v>
      </c>
      <c r="CC18" s="3">
        <v>26799</v>
      </c>
      <c r="CD18" s="3">
        <v>24888</v>
      </c>
      <c r="CE18" s="3">
        <v>22896</v>
      </c>
      <c r="CF18" s="6">
        <v>21590</v>
      </c>
      <c r="CG18" s="7">
        <v>20383</v>
      </c>
      <c r="CH18" s="7">
        <v>20488</v>
      </c>
      <c r="CI18" s="7">
        <v>18907</v>
      </c>
      <c r="CJ18" s="7">
        <v>17805</v>
      </c>
      <c r="CK18" s="7">
        <v>15600</v>
      </c>
      <c r="CL18" s="7">
        <v>14412</v>
      </c>
      <c r="CM18" s="7">
        <v>12545</v>
      </c>
      <c r="CN18" s="7">
        <v>11453</v>
      </c>
      <c r="CO18" s="7">
        <v>9664</v>
      </c>
      <c r="CP18" s="7">
        <v>8284</v>
      </c>
      <c r="CQ18" s="7">
        <v>6713</v>
      </c>
      <c r="CR18" s="7">
        <v>5547</v>
      </c>
      <c r="CS18" s="7">
        <v>4319</v>
      </c>
      <c r="CT18" s="7">
        <v>3385</v>
      </c>
      <c r="CU18" s="7">
        <v>2063</v>
      </c>
      <c r="CV18" s="7">
        <v>1461</v>
      </c>
      <c r="CW18" s="7">
        <v>975</v>
      </c>
      <c r="CX18" s="7">
        <v>593</v>
      </c>
      <c r="CY18" s="7">
        <v>387</v>
      </c>
      <c r="CZ18" s="7">
        <v>238</v>
      </c>
    </row>
    <row r="19" spans="1:104" x14ac:dyDescent="0.3">
      <c r="A19" s="2" t="s">
        <v>13</v>
      </c>
      <c r="C19" s="7">
        <v>59335</v>
      </c>
      <c r="D19" s="7">
        <v>60000</v>
      </c>
      <c r="E19" s="7">
        <v>60572</v>
      </c>
      <c r="F19" s="7">
        <v>60807</v>
      </c>
      <c r="G19" s="7">
        <v>62779</v>
      </c>
      <c r="H19" s="7">
        <v>63279</v>
      </c>
      <c r="I19" s="7">
        <v>65039</v>
      </c>
      <c r="J19" s="7">
        <v>66089</v>
      </c>
      <c r="K19" s="7">
        <v>64995</v>
      </c>
      <c r="L19" s="7">
        <v>63409</v>
      </c>
      <c r="M19" s="7">
        <v>63670</v>
      </c>
      <c r="N19" s="7">
        <v>62204</v>
      </c>
      <c r="O19" s="7">
        <v>62495</v>
      </c>
      <c r="P19" s="7">
        <v>62069</v>
      </c>
      <c r="Q19" s="7">
        <v>60968</v>
      </c>
      <c r="R19" s="7">
        <v>62315</v>
      </c>
      <c r="S19" s="7">
        <v>65270</v>
      </c>
      <c r="T19" s="7">
        <v>65756</v>
      </c>
      <c r="U19" s="7">
        <v>65139</v>
      </c>
      <c r="V19" s="7">
        <v>66540</v>
      </c>
      <c r="W19" s="7">
        <v>68038</v>
      </c>
      <c r="X19" s="7">
        <v>67803</v>
      </c>
      <c r="Y19" s="7">
        <v>68046</v>
      </c>
      <c r="Z19" s="7">
        <v>68787</v>
      </c>
      <c r="AA19" s="7">
        <v>70628</v>
      </c>
      <c r="AB19" s="7">
        <v>72595</v>
      </c>
      <c r="AC19" s="7">
        <v>74557</v>
      </c>
      <c r="AD19" s="7">
        <v>74388</v>
      </c>
      <c r="AE19" s="7">
        <v>74290</v>
      </c>
      <c r="AF19" s="7">
        <v>72108</v>
      </c>
      <c r="AG19" s="7">
        <v>72141</v>
      </c>
      <c r="AH19" s="7">
        <v>71070</v>
      </c>
      <c r="AI19" s="7">
        <v>70596</v>
      </c>
      <c r="AJ19" s="7">
        <v>70234</v>
      </c>
      <c r="AK19" s="7">
        <v>70842</v>
      </c>
      <c r="AL19" s="7">
        <v>69248</v>
      </c>
      <c r="AM19" s="7">
        <v>70363</v>
      </c>
      <c r="AN19" s="7">
        <v>69417</v>
      </c>
      <c r="AO19" s="7">
        <v>68946</v>
      </c>
      <c r="AP19" s="7">
        <v>67168</v>
      </c>
      <c r="AQ19" s="7">
        <v>68832</v>
      </c>
      <c r="AR19" s="7">
        <v>70626</v>
      </c>
      <c r="AS19" s="7">
        <v>73574</v>
      </c>
      <c r="AT19" s="7">
        <v>73799</v>
      </c>
      <c r="AU19" s="7">
        <v>76179</v>
      </c>
      <c r="AV19" s="7">
        <v>76223</v>
      </c>
      <c r="AW19" s="7">
        <v>75431</v>
      </c>
      <c r="AX19" s="7">
        <v>76880</v>
      </c>
      <c r="AY19" s="7">
        <v>76128</v>
      </c>
      <c r="AZ19" s="7">
        <v>74058</v>
      </c>
      <c r="BA19" s="7">
        <v>73613</v>
      </c>
      <c r="BB19" s="7">
        <v>72393</v>
      </c>
      <c r="BC19" s="7">
        <v>71062</v>
      </c>
      <c r="BD19" s="7">
        <v>68122</v>
      </c>
      <c r="BE19" s="7">
        <v>66332</v>
      </c>
      <c r="BF19" s="7">
        <v>65133</v>
      </c>
      <c r="BG19" s="7">
        <v>64303</v>
      </c>
      <c r="BH19" s="7">
        <v>64209</v>
      </c>
      <c r="BI19" s="7">
        <v>63471</v>
      </c>
      <c r="BJ19" s="7">
        <v>61915</v>
      </c>
      <c r="BK19" s="3">
        <v>62447</v>
      </c>
      <c r="BL19" s="3">
        <v>60625</v>
      </c>
      <c r="BM19" s="3">
        <v>59040</v>
      </c>
      <c r="BN19" s="3">
        <v>58101</v>
      </c>
      <c r="BO19" s="3">
        <v>57004</v>
      </c>
      <c r="BP19" s="3">
        <v>54072</v>
      </c>
      <c r="BQ19" s="3">
        <v>54748</v>
      </c>
      <c r="BR19" s="3">
        <v>54519</v>
      </c>
      <c r="BS19" s="3">
        <v>54731</v>
      </c>
      <c r="BT19" s="3">
        <v>55384</v>
      </c>
      <c r="BU19" s="3">
        <v>56610</v>
      </c>
      <c r="BV19" s="3">
        <v>49857</v>
      </c>
      <c r="BW19" s="3">
        <v>47124</v>
      </c>
      <c r="BX19" s="3">
        <v>41156</v>
      </c>
      <c r="BY19" s="3">
        <v>37312</v>
      </c>
      <c r="BZ19" s="3">
        <v>31803</v>
      </c>
      <c r="CA19" s="3">
        <v>32187</v>
      </c>
      <c r="CB19" s="3">
        <v>30282</v>
      </c>
      <c r="CC19" s="3">
        <v>28200</v>
      </c>
      <c r="CD19" s="3">
        <v>25857</v>
      </c>
      <c r="CE19" s="3">
        <v>23915</v>
      </c>
      <c r="CF19" s="6">
        <v>21877</v>
      </c>
      <c r="CG19" s="7">
        <v>20471</v>
      </c>
      <c r="CH19" s="7">
        <v>19218</v>
      </c>
      <c r="CI19" s="7">
        <v>19121</v>
      </c>
      <c r="CJ19" s="7">
        <v>17570</v>
      </c>
      <c r="CK19" s="7">
        <v>16316</v>
      </c>
      <c r="CL19" s="7">
        <v>14006</v>
      </c>
      <c r="CM19" s="7">
        <v>12843</v>
      </c>
      <c r="CN19" s="7">
        <v>11034</v>
      </c>
      <c r="CO19" s="7">
        <v>9901</v>
      </c>
      <c r="CP19" s="7">
        <v>8204</v>
      </c>
      <c r="CQ19" s="7">
        <v>6857</v>
      </c>
      <c r="CR19" s="7">
        <v>5400</v>
      </c>
      <c r="CS19" s="7">
        <v>4375</v>
      </c>
      <c r="CT19" s="7">
        <v>3300</v>
      </c>
      <c r="CU19" s="7">
        <v>2477</v>
      </c>
      <c r="CV19" s="7">
        <v>1471</v>
      </c>
      <c r="CW19" s="7">
        <v>1023</v>
      </c>
      <c r="CX19" s="7">
        <v>656</v>
      </c>
      <c r="CY19" s="7">
        <v>390</v>
      </c>
      <c r="CZ19" s="7">
        <v>238</v>
      </c>
    </row>
    <row r="20" spans="1:104" x14ac:dyDescent="0.3">
      <c r="A20" s="2" t="s">
        <v>14</v>
      </c>
      <c r="C20" s="7">
        <v>56965</v>
      </c>
      <c r="D20" s="7">
        <v>60067</v>
      </c>
      <c r="E20" s="7">
        <v>60482</v>
      </c>
      <c r="F20" s="7">
        <v>60911</v>
      </c>
      <c r="G20" s="7">
        <v>61154</v>
      </c>
      <c r="H20" s="7">
        <v>63022</v>
      </c>
      <c r="I20" s="7">
        <v>63548</v>
      </c>
      <c r="J20" s="7">
        <v>65340</v>
      </c>
      <c r="K20" s="7">
        <v>66381</v>
      </c>
      <c r="L20" s="7">
        <v>65381</v>
      </c>
      <c r="M20" s="7">
        <v>63801</v>
      </c>
      <c r="N20" s="7">
        <v>64071</v>
      </c>
      <c r="O20" s="7">
        <v>62557</v>
      </c>
      <c r="P20" s="7">
        <v>62878</v>
      </c>
      <c r="Q20" s="7">
        <v>62376</v>
      </c>
      <c r="R20" s="7">
        <v>61354</v>
      </c>
      <c r="S20" s="7">
        <v>62806</v>
      </c>
      <c r="T20" s="7">
        <v>65913</v>
      </c>
      <c r="U20" s="7">
        <v>66384</v>
      </c>
      <c r="V20" s="7">
        <v>65502</v>
      </c>
      <c r="W20" s="7">
        <v>66965</v>
      </c>
      <c r="X20" s="7">
        <v>68531</v>
      </c>
      <c r="Y20" s="7">
        <v>68381</v>
      </c>
      <c r="Z20" s="7">
        <v>68769</v>
      </c>
      <c r="AA20" s="7">
        <v>69724</v>
      </c>
      <c r="AB20" s="7">
        <v>71899</v>
      </c>
      <c r="AC20" s="7">
        <v>73749</v>
      </c>
      <c r="AD20" s="7">
        <v>75524</v>
      </c>
      <c r="AE20" s="7">
        <v>75387</v>
      </c>
      <c r="AF20" s="7">
        <v>75016</v>
      </c>
      <c r="AG20" s="7">
        <v>72726</v>
      </c>
      <c r="AH20" s="7">
        <v>72610</v>
      </c>
      <c r="AI20" s="7">
        <v>71502</v>
      </c>
      <c r="AJ20" s="7">
        <v>70975</v>
      </c>
      <c r="AK20" s="7">
        <v>70578</v>
      </c>
      <c r="AL20" s="7">
        <v>71176</v>
      </c>
      <c r="AM20" s="7">
        <v>69549</v>
      </c>
      <c r="AN20" s="7">
        <v>70602</v>
      </c>
      <c r="AO20" s="7">
        <v>69565</v>
      </c>
      <c r="AP20" s="7">
        <v>69101</v>
      </c>
      <c r="AQ20" s="7">
        <v>67311</v>
      </c>
      <c r="AR20" s="7">
        <v>68947</v>
      </c>
      <c r="AS20" s="7">
        <v>70698</v>
      </c>
      <c r="AT20" s="7">
        <v>73605</v>
      </c>
      <c r="AU20" s="7">
        <v>73833</v>
      </c>
      <c r="AV20" s="7">
        <v>76190</v>
      </c>
      <c r="AW20" s="7">
        <v>76208</v>
      </c>
      <c r="AX20" s="7">
        <v>75374</v>
      </c>
      <c r="AY20" s="7">
        <v>76842</v>
      </c>
      <c r="AZ20" s="7">
        <v>76060</v>
      </c>
      <c r="BA20" s="7">
        <v>73993</v>
      </c>
      <c r="BB20" s="7">
        <v>73449</v>
      </c>
      <c r="BC20" s="7">
        <v>72275</v>
      </c>
      <c r="BD20" s="7">
        <v>70897</v>
      </c>
      <c r="BE20" s="7">
        <v>67929</v>
      </c>
      <c r="BF20" s="7">
        <v>66130</v>
      </c>
      <c r="BG20" s="7">
        <v>64938</v>
      </c>
      <c r="BH20" s="7">
        <v>64057</v>
      </c>
      <c r="BI20" s="7">
        <v>63890</v>
      </c>
      <c r="BJ20" s="7">
        <v>63167</v>
      </c>
      <c r="BK20" s="3">
        <v>61579</v>
      </c>
      <c r="BL20" s="3">
        <v>62058</v>
      </c>
      <c r="BM20" s="3">
        <v>60252</v>
      </c>
      <c r="BN20" s="3">
        <v>58653</v>
      </c>
      <c r="BO20" s="3">
        <v>57637</v>
      </c>
      <c r="BP20" s="3">
        <v>56507</v>
      </c>
      <c r="BQ20" s="3">
        <v>53559</v>
      </c>
      <c r="BR20" s="3">
        <v>54110</v>
      </c>
      <c r="BS20" s="3">
        <v>53897</v>
      </c>
      <c r="BT20" s="3">
        <v>54070</v>
      </c>
      <c r="BU20" s="3">
        <v>54658</v>
      </c>
      <c r="BV20" s="3">
        <v>55796</v>
      </c>
      <c r="BW20" s="3">
        <v>49026</v>
      </c>
      <c r="BX20" s="3">
        <v>46258</v>
      </c>
      <c r="BY20" s="3">
        <v>40333</v>
      </c>
      <c r="BZ20" s="3">
        <v>36511</v>
      </c>
      <c r="CA20" s="3">
        <v>31058</v>
      </c>
      <c r="CB20" s="3">
        <v>31314</v>
      </c>
      <c r="CC20" s="3">
        <v>29357</v>
      </c>
      <c r="CD20" s="3">
        <v>27219</v>
      </c>
      <c r="CE20" s="3">
        <v>24811</v>
      </c>
      <c r="CF20" s="6">
        <v>22840</v>
      </c>
      <c r="CG20" s="7">
        <v>20762</v>
      </c>
      <c r="CH20" s="7">
        <v>19348</v>
      </c>
      <c r="CI20" s="7">
        <v>17986</v>
      </c>
      <c r="CJ20" s="7">
        <v>17673</v>
      </c>
      <c r="CK20" s="7">
        <v>16099</v>
      </c>
      <c r="CL20" s="7">
        <v>14738</v>
      </c>
      <c r="CM20" s="7">
        <v>12536</v>
      </c>
      <c r="CN20" s="7">
        <v>11267</v>
      </c>
      <c r="CO20" s="7">
        <v>9489</v>
      </c>
      <c r="CP20" s="7">
        <v>8362</v>
      </c>
      <c r="CQ20" s="7">
        <v>6791</v>
      </c>
      <c r="CR20" s="7">
        <v>5538</v>
      </c>
      <c r="CS20" s="7">
        <v>4237</v>
      </c>
      <c r="CT20" s="7">
        <v>3321</v>
      </c>
      <c r="CU20" s="7">
        <v>2426</v>
      </c>
      <c r="CV20" s="7">
        <v>1775</v>
      </c>
      <c r="CW20" s="7">
        <v>1024</v>
      </c>
      <c r="CX20" s="7">
        <v>702</v>
      </c>
      <c r="CY20" s="7">
        <v>433</v>
      </c>
      <c r="CZ20" s="7">
        <v>235</v>
      </c>
    </row>
    <row r="21" spans="1:104" x14ac:dyDescent="0.3">
      <c r="A21" s="2" t="s">
        <v>15</v>
      </c>
      <c r="C21" s="7">
        <v>55391</v>
      </c>
      <c r="D21" s="7">
        <v>57550</v>
      </c>
      <c r="E21" s="7">
        <v>60347</v>
      </c>
      <c r="F21" s="7">
        <v>60609</v>
      </c>
      <c r="G21" s="7">
        <v>60966</v>
      </c>
      <c r="H21" s="7">
        <v>61276</v>
      </c>
      <c r="I21" s="7">
        <v>63085</v>
      </c>
      <c r="J21" s="7">
        <v>63622</v>
      </c>
      <c r="K21" s="7">
        <v>65504</v>
      </c>
      <c r="L21" s="7">
        <v>66566</v>
      </c>
      <c r="M21" s="7">
        <v>65627</v>
      </c>
      <c r="N21" s="7">
        <v>64061</v>
      </c>
      <c r="O21" s="7">
        <v>64353</v>
      </c>
      <c r="P21" s="7">
        <v>62838</v>
      </c>
      <c r="Q21" s="7">
        <v>63163</v>
      </c>
      <c r="R21" s="7">
        <v>62646</v>
      </c>
      <c r="S21" s="7">
        <v>61731</v>
      </c>
      <c r="T21" s="7">
        <v>63173</v>
      </c>
      <c r="U21" s="7">
        <v>66361</v>
      </c>
      <c r="V21" s="7">
        <v>66588</v>
      </c>
      <c r="W21" s="7">
        <v>65863</v>
      </c>
      <c r="X21" s="7">
        <v>67427</v>
      </c>
      <c r="Y21" s="7">
        <v>69204</v>
      </c>
      <c r="Z21" s="7">
        <v>69074</v>
      </c>
      <c r="AA21" s="7">
        <v>69663</v>
      </c>
      <c r="AB21" s="7">
        <v>70797</v>
      </c>
      <c r="AC21" s="7">
        <v>72975</v>
      </c>
      <c r="AD21" s="7">
        <v>74836</v>
      </c>
      <c r="AE21" s="7">
        <v>76469</v>
      </c>
      <c r="AF21" s="7">
        <v>76111</v>
      </c>
      <c r="AG21" s="7">
        <v>75681</v>
      </c>
      <c r="AH21" s="7">
        <v>73268</v>
      </c>
      <c r="AI21" s="7">
        <v>72947</v>
      </c>
      <c r="AJ21" s="7">
        <v>71880</v>
      </c>
      <c r="AK21" s="7">
        <v>71196</v>
      </c>
      <c r="AL21" s="7">
        <v>70845</v>
      </c>
      <c r="AM21" s="7">
        <v>71364</v>
      </c>
      <c r="AN21" s="7">
        <v>69715</v>
      </c>
      <c r="AO21" s="7">
        <v>70748</v>
      </c>
      <c r="AP21" s="7">
        <v>69725</v>
      </c>
      <c r="AQ21" s="7">
        <v>69247</v>
      </c>
      <c r="AR21" s="7">
        <v>67359</v>
      </c>
      <c r="AS21" s="7">
        <v>69029</v>
      </c>
      <c r="AT21" s="7">
        <v>70849</v>
      </c>
      <c r="AU21" s="7">
        <v>73727</v>
      </c>
      <c r="AV21" s="7">
        <v>73833</v>
      </c>
      <c r="AW21" s="7">
        <v>76249</v>
      </c>
      <c r="AX21" s="7">
        <v>76226</v>
      </c>
      <c r="AY21" s="7">
        <v>75353</v>
      </c>
      <c r="AZ21" s="7">
        <v>76767</v>
      </c>
      <c r="BA21" s="7">
        <v>75954</v>
      </c>
      <c r="BB21" s="7">
        <v>73918</v>
      </c>
      <c r="BC21" s="7">
        <v>73346</v>
      </c>
      <c r="BD21" s="7">
        <v>72093</v>
      </c>
      <c r="BE21" s="7">
        <v>70733</v>
      </c>
      <c r="BF21" s="7">
        <v>67723</v>
      </c>
      <c r="BG21" s="7">
        <v>65958</v>
      </c>
      <c r="BH21" s="7">
        <v>64676</v>
      </c>
      <c r="BI21" s="7">
        <v>63764</v>
      </c>
      <c r="BJ21" s="7">
        <v>63579</v>
      </c>
      <c r="BK21" s="3">
        <v>62854</v>
      </c>
      <c r="BL21" s="3">
        <v>61213</v>
      </c>
      <c r="BM21" s="3">
        <v>61675</v>
      </c>
      <c r="BN21" s="3">
        <v>59790</v>
      </c>
      <c r="BO21" s="3">
        <v>58211</v>
      </c>
      <c r="BP21" s="3">
        <v>57146</v>
      </c>
      <c r="BQ21" s="3">
        <v>56001</v>
      </c>
      <c r="BR21" s="3">
        <v>53040</v>
      </c>
      <c r="BS21" s="3">
        <v>53535</v>
      </c>
      <c r="BT21" s="3">
        <v>53282</v>
      </c>
      <c r="BU21" s="3">
        <v>53369</v>
      </c>
      <c r="BV21" s="3">
        <v>53877</v>
      </c>
      <c r="BW21" s="3">
        <v>54929</v>
      </c>
      <c r="BX21" s="3">
        <v>48193</v>
      </c>
      <c r="BY21" s="3">
        <v>45423</v>
      </c>
      <c r="BZ21" s="3">
        <v>39480</v>
      </c>
      <c r="CA21" s="3">
        <v>35636</v>
      </c>
      <c r="CB21" s="3">
        <v>30240</v>
      </c>
      <c r="CC21" s="3">
        <v>30316</v>
      </c>
      <c r="CD21" s="3">
        <v>28375</v>
      </c>
      <c r="CE21" s="3">
        <v>26149</v>
      </c>
      <c r="CF21" s="6">
        <v>23752</v>
      </c>
      <c r="CG21" s="7">
        <v>21667</v>
      </c>
      <c r="CH21" s="7">
        <v>19528</v>
      </c>
      <c r="CI21" s="7">
        <v>18114</v>
      </c>
      <c r="CJ21" s="7">
        <v>16733</v>
      </c>
      <c r="CK21" s="7">
        <v>16253</v>
      </c>
      <c r="CL21" s="7">
        <v>14606</v>
      </c>
      <c r="CM21" s="7">
        <v>13212</v>
      </c>
      <c r="CN21" s="7">
        <v>11017</v>
      </c>
      <c r="CO21" s="7">
        <v>9633</v>
      </c>
      <c r="CP21" s="7">
        <v>8074</v>
      </c>
      <c r="CQ21" s="7">
        <v>6894</v>
      </c>
      <c r="CR21" s="7">
        <v>5530</v>
      </c>
      <c r="CS21" s="7">
        <v>4417</v>
      </c>
      <c r="CT21" s="7">
        <v>3223</v>
      </c>
      <c r="CU21" s="7">
        <v>2439</v>
      </c>
      <c r="CV21" s="7">
        <v>1756</v>
      </c>
      <c r="CW21" s="7">
        <v>1236</v>
      </c>
      <c r="CX21" s="7">
        <v>687</v>
      </c>
      <c r="CY21" s="7">
        <v>440</v>
      </c>
      <c r="CZ21" s="7">
        <v>288</v>
      </c>
    </row>
    <row r="22" spans="1:104" x14ac:dyDescent="0.3">
      <c r="A22" s="2" t="s">
        <v>16</v>
      </c>
      <c r="C22" s="7">
        <v>54827</v>
      </c>
      <c r="D22" s="7">
        <v>56012</v>
      </c>
      <c r="E22" s="7">
        <v>57881</v>
      </c>
      <c r="F22" s="7">
        <v>60522</v>
      </c>
      <c r="G22" s="7">
        <v>60821</v>
      </c>
      <c r="H22" s="7">
        <v>61096</v>
      </c>
      <c r="I22" s="7">
        <v>61392</v>
      </c>
      <c r="J22" s="7">
        <v>63251</v>
      </c>
      <c r="K22" s="7">
        <v>63881</v>
      </c>
      <c r="L22" s="7">
        <v>65675</v>
      </c>
      <c r="M22" s="7">
        <v>66830</v>
      </c>
      <c r="N22" s="7">
        <v>65911</v>
      </c>
      <c r="O22" s="7">
        <v>64306</v>
      </c>
      <c r="P22" s="7">
        <v>64640</v>
      </c>
      <c r="Q22" s="7">
        <v>63082</v>
      </c>
      <c r="R22" s="7">
        <v>63408</v>
      </c>
      <c r="S22" s="7">
        <v>63022</v>
      </c>
      <c r="T22" s="7">
        <v>62051</v>
      </c>
      <c r="U22" s="7">
        <v>63557</v>
      </c>
      <c r="V22" s="7">
        <v>66584</v>
      </c>
      <c r="W22" s="7">
        <v>66813</v>
      </c>
      <c r="X22" s="7">
        <v>66164</v>
      </c>
      <c r="Y22" s="7">
        <v>67817</v>
      </c>
      <c r="Z22" s="7">
        <v>69949</v>
      </c>
      <c r="AA22" s="7">
        <v>70086</v>
      </c>
      <c r="AB22" s="7">
        <v>70853</v>
      </c>
      <c r="AC22" s="7">
        <v>72055</v>
      </c>
      <c r="AD22" s="7">
        <v>74333</v>
      </c>
      <c r="AE22" s="7">
        <v>76034</v>
      </c>
      <c r="AF22" s="7">
        <v>77648</v>
      </c>
      <c r="AG22" s="7">
        <v>77154</v>
      </c>
      <c r="AH22" s="7">
        <v>76654</v>
      </c>
      <c r="AI22" s="7">
        <v>74060</v>
      </c>
      <c r="AJ22" s="7">
        <v>73772</v>
      </c>
      <c r="AK22" s="7">
        <v>72584</v>
      </c>
      <c r="AL22" s="7">
        <v>71786</v>
      </c>
      <c r="AM22" s="7">
        <v>71437</v>
      </c>
      <c r="AN22" s="7">
        <v>71816</v>
      </c>
      <c r="AO22" s="7">
        <v>70166</v>
      </c>
      <c r="AP22" s="7">
        <v>71118</v>
      </c>
      <c r="AQ22" s="7">
        <v>70031</v>
      </c>
      <c r="AR22" s="7">
        <v>69500</v>
      </c>
      <c r="AS22" s="7">
        <v>67668</v>
      </c>
      <c r="AT22" s="7">
        <v>69281</v>
      </c>
      <c r="AU22" s="7">
        <v>71035</v>
      </c>
      <c r="AV22" s="7">
        <v>73922</v>
      </c>
      <c r="AW22" s="7">
        <v>74049</v>
      </c>
      <c r="AX22" s="7">
        <v>76421</v>
      </c>
      <c r="AY22" s="7">
        <v>76355</v>
      </c>
      <c r="AZ22" s="7">
        <v>75401</v>
      </c>
      <c r="BA22" s="7">
        <v>76841</v>
      </c>
      <c r="BB22" s="7">
        <v>75951</v>
      </c>
      <c r="BC22" s="7">
        <v>73838</v>
      </c>
      <c r="BD22" s="7">
        <v>73303</v>
      </c>
      <c r="BE22" s="7">
        <v>71998</v>
      </c>
      <c r="BF22" s="7">
        <v>70593</v>
      </c>
      <c r="BG22" s="7">
        <v>67565</v>
      </c>
      <c r="BH22" s="7">
        <v>65729</v>
      </c>
      <c r="BI22" s="7">
        <v>64470</v>
      </c>
      <c r="BJ22" s="7">
        <v>63542</v>
      </c>
      <c r="BK22" s="3">
        <v>63305</v>
      </c>
      <c r="BL22" s="3">
        <v>62531</v>
      </c>
      <c r="BM22" s="3">
        <v>60841</v>
      </c>
      <c r="BN22" s="3">
        <v>61215</v>
      </c>
      <c r="BO22" s="3">
        <v>59331</v>
      </c>
      <c r="BP22" s="3">
        <v>57742</v>
      </c>
      <c r="BQ22" s="3">
        <v>56654</v>
      </c>
      <c r="BR22" s="3">
        <v>55422</v>
      </c>
      <c r="BS22" s="3">
        <v>52505</v>
      </c>
      <c r="BT22" s="3">
        <v>52949</v>
      </c>
      <c r="BU22" s="3">
        <v>52574</v>
      </c>
      <c r="BV22" s="3">
        <v>52640</v>
      </c>
      <c r="BW22" s="3">
        <v>53029</v>
      </c>
      <c r="BX22" s="3">
        <v>54001</v>
      </c>
      <c r="BY22" s="3">
        <v>47208</v>
      </c>
      <c r="BZ22" s="3">
        <v>44441</v>
      </c>
      <c r="CA22" s="3">
        <v>38551</v>
      </c>
      <c r="CB22" s="3">
        <v>34707</v>
      </c>
      <c r="CC22" s="3">
        <v>29351</v>
      </c>
      <c r="CD22" s="3">
        <v>29332</v>
      </c>
      <c r="CE22" s="3">
        <v>27279</v>
      </c>
      <c r="CF22" s="6">
        <v>25071</v>
      </c>
      <c r="CG22" s="7">
        <v>22635</v>
      </c>
      <c r="CH22" s="7">
        <v>20484</v>
      </c>
      <c r="CI22" s="7">
        <v>18246</v>
      </c>
      <c r="CJ22" s="7">
        <v>16809</v>
      </c>
      <c r="CK22" s="7">
        <v>15398</v>
      </c>
      <c r="CL22" s="7">
        <v>14780</v>
      </c>
      <c r="CM22" s="7">
        <v>13080</v>
      </c>
      <c r="CN22" s="7">
        <v>11698</v>
      </c>
      <c r="CO22" s="7">
        <v>9587</v>
      </c>
      <c r="CP22" s="7">
        <v>8160</v>
      </c>
      <c r="CQ22" s="7">
        <v>6697</v>
      </c>
      <c r="CR22" s="7">
        <v>5637</v>
      </c>
      <c r="CS22" s="7">
        <v>4369</v>
      </c>
      <c r="CT22" s="7">
        <v>3435</v>
      </c>
      <c r="CU22" s="7">
        <v>2435</v>
      </c>
      <c r="CV22" s="7">
        <v>1733</v>
      </c>
      <c r="CW22" s="7">
        <v>1209</v>
      </c>
      <c r="CX22" s="7">
        <v>849</v>
      </c>
      <c r="CY22" s="7">
        <v>445</v>
      </c>
      <c r="CZ22" s="7">
        <v>270</v>
      </c>
    </row>
    <row r="23" spans="1:104" x14ac:dyDescent="0.3">
      <c r="A23" s="2" t="s">
        <v>17</v>
      </c>
      <c r="C23" s="7">
        <v>53134</v>
      </c>
      <c r="D23" s="7">
        <v>55225</v>
      </c>
      <c r="E23" s="7">
        <v>56142</v>
      </c>
      <c r="F23" s="7">
        <v>57933</v>
      </c>
      <c r="G23" s="7">
        <v>60526</v>
      </c>
      <c r="H23" s="7">
        <v>60804</v>
      </c>
      <c r="I23" s="7">
        <v>61036</v>
      </c>
      <c r="J23" s="7">
        <v>61447</v>
      </c>
      <c r="K23" s="7">
        <v>63318</v>
      </c>
      <c r="L23" s="7">
        <v>63968</v>
      </c>
      <c r="M23" s="7">
        <v>65749</v>
      </c>
      <c r="N23" s="7">
        <v>66933</v>
      </c>
      <c r="O23" s="7">
        <v>66122</v>
      </c>
      <c r="P23" s="7">
        <v>64462</v>
      </c>
      <c r="Q23" s="7">
        <v>64792</v>
      </c>
      <c r="R23" s="7">
        <v>63256</v>
      </c>
      <c r="S23" s="7">
        <v>63606</v>
      </c>
      <c r="T23" s="7">
        <v>63237</v>
      </c>
      <c r="U23" s="7">
        <v>62347</v>
      </c>
      <c r="V23" s="7">
        <v>63753</v>
      </c>
      <c r="W23" s="7">
        <v>66564</v>
      </c>
      <c r="X23" s="7">
        <v>66936</v>
      </c>
      <c r="Y23" s="7">
        <v>66360</v>
      </c>
      <c r="Z23" s="7">
        <v>68135</v>
      </c>
      <c r="AA23" s="7">
        <v>70426</v>
      </c>
      <c r="AB23" s="7">
        <v>70778</v>
      </c>
      <c r="AC23" s="7">
        <v>71677</v>
      </c>
      <c r="AD23" s="7">
        <v>72872</v>
      </c>
      <c r="AE23" s="7">
        <v>74929</v>
      </c>
      <c r="AF23" s="7">
        <v>76630</v>
      </c>
      <c r="AG23" s="7">
        <v>78094</v>
      </c>
      <c r="AH23" s="7">
        <v>77420</v>
      </c>
      <c r="AI23" s="7">
        <v>77015</v>
      </c>
      <c r="AJ23" s="7">
        <v>74273</v>
      </c>
      <c r="AK23" s="7">
        <v>74033</v>
      </c>
      <c r="AL23" s="7">
        <v>72771</v>
      </c>
      <c r="AM23" s="7">
        <v>71822</v>
      </c>
      <c r="AN23" s="7">
        <v>71519</v>
      </c>
      <c r="AO23" s="7">
        <v>71865</v>
      </c>
      <c r="AP23" s="7">
        <v>70312</v>
      </c>
      <c r="AQ23" s="7">
        <v>71180</v>
      </c>
      <c r="AR23" s="7">
        <v>70078</v>
      </c>
      <c r="AS23" s="7">
        <v>69540</v>
      </c>
      <c r="AT23" s="7">
        <v>67741</v>
      </c>
      <c r="AU23" s="7">
        <v>69250</v>
      </c>
      <c r="AV23" s="7">
        <v>71139</v>
      </c>
      <c r="AW23" s="7">
        <v>73973</v>
      </c>
      <c r="AX23" s="7">
        <v>74060</v>
      </c>
      <c r="AY23" s="7">
        <v>76360</v>
      </c>
      <c r="AZ23" s="7">
        <v>76270</v>
      </c>
      <c r="BA23" s="7">
        <v>75360</v>
      </c>
      <c r="BB23" s="7">
        <v>76753</v>
      </c>
      <c r="BC23" s="7">
        <v>75847</v>
      </c>
      <c r="BD23" s="7">
        <v>73718</v>
      </c>
      <c r="BE23" s="7">
        <v>73159</v>
      </c>
      <c r="BF23" s="7">
        <v>71855</v>
      </c>
      <c r="BG23" s="7">
        <v>70382</v>
      </c>
      <c r="BH23" s="7">
        <v>67370</v>
      </c>
      <c r="BI23" s="7">
        <v>65515</v>
      </c>
      <c r="BJ23" s="7">
        <v>64204</v>
      </c>
      <c r="BK23" s="3">
        <v>63260</v>
      </c>
      <c r="BL23" s="3">
        <v>63019</v>
      </c>
      <c r="BM23" s="3">
        <v>62169</v>
      </c>
      <c r="BN23" s="3">
        <v>60432</v>
      </c>
      <c r="BO23" s="3">
        <v>60772</v>
      </c>
      <c r="BP23" s="3">
        <v>58841</v>
      </c>
      <c r="BQ23" s="3">
        <v>57244</v>
      </c>
      <c r="BR23" s="3">
        <v>56054</v>
      </c>
      <c r="BS23" s="3">
        <v>54855</v>
      </c>
      <c r="BT23" s="3">
        <v>51873</v>
      </c>
      <c r="BU23" s="3">
        <v>52342</v>
      </c>
      <c r="BV23" s="3">
        <v>51795</v>
      </c>
      <c r="BW23" s="3">
        <v>51861</v>
      </c>
      <c r="BX23" s="3">
        <v>52122</v>
      </c>
      <c r="BY23" s="3">
        <v>53009</v>
      </c>
      <c r="BZ23" s="3">
        <v>46175</v>
      </c>
      <c r="CA23" s="3">
        <v>43462</v>
      </c>
      <c r="CB23" s="3">
        <v>37606</v>
      </c>
      <c r="CC23" s="3">
        <v>33720</v>
      </c>
      <c r="CD23" s="3">
        <v>28376</v>
      </c>
      <c r="CE23" s="3">
        <v>28254</v>
      </c>
      <c r="CF23" s="6">
        <v>26140</v>
      </c>
      <c r="CG23" s="7">
        <v>23923</v>
      </c>
      <c r="CH23" s="7">
        <v>21400</v>
      </c>
      <c r="CI23" s="7">
        <v>19230</v>
      </c>
      <c r="CJ23" s="7">
        <v>16920</v>
      </c>
      <c r="CK23" s="7">
        <v>15497</v>
      </c>
      <c r="CL23" s="7">
        <v>14076</v>
      </c>
      <c r="CM23" s="7">
        <v>13346</v>
      </c>
      <c r="CN23" s="7">
        <v>11523</v>
      </c>
      <c r="CO23" s="7">
        <v>10112</v>
      </c>
      <c r="CP23" s="7">
        <v>8186</v>
      </c>
      <c r="CQ23" s="7">
        <v>6844</v>
      </c>
      <c r="CR23" s="7">
        <v>5464</v>
      </c>
      <c r="CS23" s="7">
        <v>4437</v>
      </c>
      <c r="CT23" s="7">
        <v>3400</v>
      </c>
      <c r="CU23" s="7">
        <v>2605</v>
      </c>
      <c r="CV23" s="7">
        <v>1746</v>
      </c>
      <c r="CW23" s="7">
        <v>1203</v>
      </c>
      <c r="CX23" s="7">
        <v>831</v>
      </c>
      <c r="CY23" s="7">
        <v>552</v>
      </c>
      <c r="CZ23" s="7">
        <v>292</v>
      </c>
    </row>
    <row r="24" spans="1:104" x14ac:dyDescent="0.3">
      <c r="A24" s="2" t="s">
        <v>18</v>
      </c>
      <c r="C24" s="7">
        <v>56458</v>
      </c>
      <c r="D24" s="7">
        <v>53674</v>
      </c>
      <c r="E24" s="7">
        <v>55550</v>
      </c>
      <c r="F24" s="7">
        <v>56293</v>
      </c>
      <c r="G24" s="7">
        <v>58065</v>
      </c>
      <c r="H24" s="7">
        <v>60653</v>
      </c>
      <c r="I24" s="7">
        <v>60797</v>
      </c>
      <c r="J24" s="7">
        <v>61192</v>
      </c>
      <c r="K24" s="7">
        <v>61543</v>
      </c>
      <c r="L24" s="7">
        <v>63489</v>
      </c>
      <c r="M24" s="7">
        <v>64128</v>
      </c>
      <c r="N24" s="7">
        <v>65978</v>
      </c>
      <c r="O24" s="7">
        <v>67107</v>
      </c>
      <c r="P24" s="7">
        <v>66371</v>
      </c>
      <c r="Q24" s="7">
        <v>64689</v>
      </c>
      <c r="R24" s="7">
        <v>65084</v>
      </c>
      <c r="S24" s="7">
        <v>63569</v>
      </c>
      <c r="T24" s="7">
        <v>63883</v>
      </c>
      <c r="U24" s="7">
        <v>63617</v>
      </c>
      <c r="V24" s="7">
        <v>62594</v>
      </c>
      <c r="W24" s="7">
        <v>64047</v>
      </c>
      <c r="X24" s="7">
        <v>67017</v>
      </c>
      <c r="Y24" s="7">
        <v>67331</v>
      </c>
      <c r="Z24" s="7">
        <v>67167</v>
      </c>
      <c r="AA24" s="7">
        <v>69348</v>
      </c>
      <c r="AB24" s="7">
        <v>71799</v>
      </c>
      <c r="AC24" s="7">
        <v>72197</v>
      </c>
      <c r="AD24" s="7">
        <v>72765</v>
      </c>
      <c r="AE24" s="7">
        <v>74004</v>
      </c>
      <c r="AF24" s="7">
        <v>75908</v>
      </c>
      <c r="AG24" s="7">
        <v>77414</v>
      </c>
      <c r="AH24" s="7">
        <v>78769</v>
      </c>
      <c r="AI24" s="7">
        <v>77915</v>
      </c>
      <c r="AJ24" s="7">
        <v>77460</v>
      </c>
      <c r="AK24" s="7">
        <v>74627</v>
      </c>
      <c r="AL24" s="7">
        <v>74251</v>
      </c>
      <c r="AM24" s="7">
        <v>73064</v>
      </c>
      <c r="AN24" s="7">
        <v>71980</v>
      </c>
      <c r="AO24" s="7">
        <v>71645</v>
      </c>
      <c r="AP24" s="7">
        <v>71997</v>
      </c>
      <c r="AQ24" s="7">
        <v>70417</v>
      </c>
      <c r="AR24" s="7">
        <v>71289</v>
      </c>
      <c r="AS24" s="7">
        <v>70123</v>
      </c>
      <c r="AT24" s="7">
        <v>69654</v>
      </c>
      <c r="AU24" s="7">
        <v>67823</v>
      </c>
      <c r="AV24" s="7">
        <v>69294</v>
      </c>
      <c r="AW24" s="7">
        <v>71237</v>
      </c>
      <c r="AX24" s="7">
        <v>74016</v>
      </c>
      <c r="AY24" s="7">
        <v>74010</v>
      </c>
      <c r="AZ24" s="7">
        <v>76370</v>
      </c>
      <c r="BA24" s="7">
        <v>76310</v>
      </c>
      <c r="BB24" s="7">
        <v>75342</v>
      </c>
      <c r="BC24" s="7">
        <v>76661</v>
      </c>
      <c r="BD24" s="7">
        <v>75808</v>
      </c>
      <c r="BE24" s="7">
        <v>73613</v>
      </c>
      <c r="BF24" s="7">
        <v>72952</v>
      </c>
      <c r="BG24" s="7">
        <v>71623</v>
      </c>
      <c r="BH24" s="7">
        <v>70150</v>
      </c>
      <c r="BI24" s="7">
        <v>67122</v>
      </c>
      <c r="BJ24" s="7">
        <v>65278</v>
      </c>
      <c r="BK24" s="3">
        <v>63952</v>
      </c>
      <c r="BL24" s="3">
        <v>62955</v>
      </c>
      <c r="BM24" s="3">
        <v>62648</v>
      </c>
      <c r="BN24" s="3">
        <v>61739</v>
      </c>
      <c r="BO24" s="3">
        <v>59971</v>
      </c>
      <c r="BP24" s="3">
        <v>60231</v>
      </c>
      <c r="BQ24" s="3">
        <v>58280</v>
      </c>
      <c r="BR24" s="3">
        <v>56640</v>
      </c>
      <c r="BS24" s="3">
        <v>55469</v>
      </c>
      <c r="BT24" s="3">
        <v>54233</v>
      </c>
      <c r="BU24" s="3">
        <v>51263</v>
      </c>
      <c r="BV24" s="3">
        <v>51615</v>
      </c>
      <c r="BW24" s="3">
        <v>50984</v>
      </c>
      <c r="BX24" s="3">
        <v>50936</v>
      </c>
      <c r="BY24" s="3">
        <v>51168</v>
      </c>
      <c r="BZ24" s="3">
        <v>51886</v>
      </c>
      <c r="CA24" s="3">
        <v>45092</v>
      </c>
      <c r="CB24" s="3">
        <v>42313</v>
      </c>
      <c r="CC24" s="3">
        <v>36469</v>
      </c>
      <c r="CD24" s="3">
        <v>32602</v>
      </c>
      <c r="CE24" s="3">
        <v>27388</v>
      </c>
      <c r="CF24" s="6">
        <v>27069</v>
      </c>
      <c r="CG24" s="7">
        <v>24869</v>
      </c>
      <c r="CH24" s="7">
        <v>22633</v>
      </c>
      <c r="CI24" s="7">
        <v>20014</v>
      </c>
      <c r="CJ24" s="7">
        <v>17911</v>
      </c>
      <c r="CK24" s="7">
        <v>15563</v>
      </c>
      <c r="CL24" s="7">
        <v>13996</v>
      </c>
      <c r="CM24" s="7">
        <v>12558</v>
      </c>
      <c r="CN24" s="7">
        <v>11734</v>
      </c>
      <c r="CO24" s="7">
        <v>9974</v>
      </c>
      <c r="CP24" s="7">
        <v>8659</v>
      </c>
      <c r="CQ24" s="7">
        <v>6836</v>
      </c>
      <c r="CR24" s="7">
        <v>5545</v>
      </c>
      <c r="CS24" s="7">
        <v>4300</v>
      </c>
      <c r="CT24" s="7">
        <v>3465</v>
      </c>
      <c r="CU24" s="7">
        <v>2571</v>
      </c>
      <c r="CV24" s="7">
        <v>1879</v>
      </c>
      <c r="CW24" s="7">
        <v>1220</v>
      </c>
      <c r="CX24" s="7">
        <v>800</v>
      </c>
      <c r="CY24" s="7">
        <v>527</v>
      </c>
      <c r="CZ24" s="7">
        <v>341</v>
      </c>
    </row>
    <row r="25" spans="1:104" x14ac:dyDescent="0.3">
      <c r="A25" s="2" t="s">
        <v>19</v>
      </c>
      <c r="C25" s="7">
        <v>51991</v>
      </c>
      <c r="D25" s="7">
        <v>57415</v>
      </c>
      <c r="E25" s="7">
        <v>54778</v>
      </c>
      <c r="F25" s="7">
        <v>56455</v>
      </c>
      <c r="G25" s="7">
        <v>57146</v>
      </c>
      <c r="H25" s="7">
        <v>58885</v>
      </c>
      <c r="I25" s="7">
        <v>61475</v>
      </c>
      <c r="J25" s="7">
        <v>61705</v>
      </c>
      <c r="K25" s="7">
        <v>62098</v>
      </c>
      <c r="L25" s="7">
        <v>62445</v>
      </c>
      <c r="M25" s="7">
        <v>64417</v>
      </c>
      <c r="N25" s="7">
        <v>65002</v>
      </c>
      <c r="O25" s="7">
        <v>66883</v>
      </c>
      <c r="P25" s="7">
        <v>68029</v>
      </c>
      <c r="Q25" s="7">
        <v>67343</v>
      </c>
      <c r="R25" s="7">
        <v>65646</v>
      </c>
      <c r="S25" s="7">
        <v>65993</v>
      </c>
      <c r="T25" s="7">
        <v>64485</v>
      </c>
      <c r="U25" s="7">
        <v>64907</v>
      </c>
      <c r="V25" s="7">
        <v>64329</v>
      </c>
      <c r="W25" s="7">
        <v>63465</v>
      </c>
      <c r="X25" s="7">
        <v>64992</v>
      </c>
      <c r="Y25" s="7">
        <v>68119</v>
      </c>
      <c r="Z25" s="7">
        <v>68657</v>
      </c>
      <c r="AA25" s="7">
        <v>68733</v>
      </c>
      <c r="AB25" s="7">
        <v>70940</v>
      </c>
      <c r="AC25" s="7">
        <v>73380</v>
      </c>
      <c r="AD25" s="7">
        <v>73831</v>
      </c>
      <c r="AE25" s="7">
        <v>74442</v>
      </c>
      <c r="AF25" s="7">
        <v>75605</v>
      </c>
      <c r="AG25" s="7">
        <v>77514</v>
      </c>
      <c r="AH25" s="7">
        <v>78869</v>
      </c>
      <c r="AI25" s="7">
        <v>80122</v>
      </c>
      <c r="AJ25" s="7">
        <v>79164</v>
      </c>
      <c r="AK25" s="7">
        <v>78676</v>
      </c>
      <c r="AL25" s="7">
        <v>75796</v>
      </c>
      <c r="AM25" s="7">
        <v>75405</v>
      </c>
      <c r="AN25" s="7">
        <v>74145</v>
      </c>
      <c r="AO25" s="7">
        <v>73022</v>
      </c>
      <c r="AP25" s="7">
        <v>72605</v>
      </c>
      <c r="AQ25" s="7">
        <v>72954</v>
      </c>
      <c r="AR25" s="7">
        <v>71180</v>
      </c>
      <c r="AS25" s="7">
        <v>72065</v>
      </c>
      <c r="AT25" s="7">
        <v>70813</v>
      </c>
      <c r="AU25" s="7">
        <v>70248</v>
      </c>
      <c r="AV25" s="7">
        <v>68404</v>
      </c>
      <c r="AW25" s="7">
        <v>69809</v>
      </c>
      <c r="AX25" s="7">
        <v>71640</v>
      </c>
      <c r="AY25" s="7">
        <v>74422</v>
      </c>
      <c r="AZ25" s="7">
        <v>74294</v>
      </c>
      <c r="BA25" s="7">
        <v>76650</v>
      </c>
      <c r="BB25" s="7">
        <v>76496</v>
      </c>
      <c r="BC25" s="7">
        <v>75554</v>
      </c>
      <c r="BD25" s="7">
        <v>76787</v>
      </c>
      <c r="BE25" s="7">
        <v>75920</v>
      </c>
      <c r="BF25" s="7">
        <v>73662</v>
      </c>
      <c r="BG25" s="7">
        <v>72988</v>
      </c>
      <c r="BH25" s="7">
        <v>71513</v>
      </c>
      <c r="BI25" s="7">
        <v>70071</v>
      </c>
      <c r="BJ25" s="7">
        <v>67050</v>
      </c>
      <c r="BK25" s="3">
        <v>65256</v>
      </c>
      <c r="BL25" s="3">
        <v>63926</v>
      </c>
      <c r="BM25" s="3">
        <v>62903</v>
      </c>
      <c r="BN25" s="3">
        <v>62469</v>
      </c>
      <c r="BO25" s="3">
        <v>61540</v>
      </c>
      <c r="BP25" s="3">
        <v>59735</v>
      </c>
      <c r="BQ25" s="3">
        <v>59883</v>
      </c>
      <c r="BR25" s="3">
        <v>57881</v>
      </c>
      <c r="BS25" s="3">
        <v>56206</v>
      </c>
      <c r="BT25" s="3">
        <v>54961</v>
      </c>
      <c r="BU25" s="3">
        <v>53672</v>
      </c>
      <c r="BV25" s="3">
        <v>50686</v>
      </c>
      <c r="BW25" s="3">
        <v>50957</v>
      </c>
      <c r="BX25" s="3">
        <v>50238</v>
      </c>
      <c r="BY25" s="3">
        <v>50039</v>
      </c>
      <c r="BZ25" s="3">
        <v>50093</v>
      </c>
      <c r="CA25" s="3">
        <v>50626</v>
      </c>
      <c r="CB25" s="3">
        <v>43841</v>
      </c>
      <c r="CC25" s="3">
        <v>41041</v>
      </c>
      <c r="CD25" s="3">
        <v>35242</v>
      </c>
      <c r="CE25" s="3">
        <v>31411</v>
      </c>
      <c r="CF25" s="6">
        <v>26229</v>
      </c>
      <c r="CG25" s="7">
        <v>25767</v>
      </c>
      <c r="CH25" s="7">
        <v>23456</v>
      </c>
      <c r="CI25" s="7">
        <v>21165</v>
      </c>
      <c r="CJ25" s="7">
        <v>18543</v>
      </c>
      <c r="CK25" s="7">
        <v>16388</v>
      </c>
      <c r="CL25" s="7">
        <v>14089</v>
      </c>
      <c r="CM25" s="7">
        <v>12397</v>
      </c>
      <c r="CN25" s="7">
        <v>10932</v>
      </c>
      <c r="CO25" s="7">
        <v>10046</v>
      </c>
      <c r="CP25" s="7">
        <v>8395</v>
      </c>
      <c r="CQ25" s="7">
        <v>7045</v>
      </c>
      <c r="CR25" s="7">
        <v>5450</v>
      </c>
      <c r="CS25" s="7">
        <v>4269</v>
      </c>
      <c r="CT25" s="7">
        <v>3184</v>
      </c>
      <c r="CU25" s="7">
        <v>2489</v>
      </c>
      <c r="CV25" s="7">
        <v>1782</v>
      </c>
      <c r="CW25" s="7">
        <v>1277</v>
      </c>
      <c r="CX25" s="7">
        <v>771</v>
      </c>
      <c r="CY25" s="7">
        <v>518</v>
      </c>
      <c r="CZ25" s="7">
        <v>310</v>
      </c>
    </row>
    <row r="26" spans="1:104" s="8" customFormat="1" x14ac:dyDescent="0.3">
      <c r="A26" s="9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</row>
    <row r="27" spans="1:104" x14ac:dyDescent="0.3">
      <c r="C27" t="s">
        <v>35</v>
      </c>
      <c r="F27" s="11"/>
      <c r="AU27" s="11"/>
    </row>
    <row r="28" spans="1:104" s="5" customFormat="1" x14ac:dyDescent="0.3">
      <c r="A28" s="4"/>
      <c r="B28" s="10" t="s">
        <v>20</v>
      </c>
      <c r="C28" s="10">
        <v>0</v>
      </c>
      <c r="D28" s="10">
        <v>1</v>
      </c>
      <c r="E28" s="10">
        <v>2</v>
      </c>
      <c r="F28" s="10">
        <v>3</v>
      </c>
      <c r="G28" s="10">
        <v>4</v>
      </c>
      <c r="H28" s="10">
        <v>5</v>
      </c>
      <c r="I28" s="10">
        <v>6</v>
      </c>
      <c r="J28" s="10">
        <v>7</v>
      </c>
      <c r="K28" s="10">
        <v>8</v>
      </c>
      <c r="L28" s="10">
        <v>9</v>
      </c>
      <c r="M28" s="10">
        <v>10</v>
      </c>
      <c r="N28" s="10">
        <v>11</v>
      </c>
      <c r="O28" s="10">
        <v>12</v>
      </c>
      <c r="P28" s="10">
        <v>13</v>
      </c>
      <c r="Q28" s="10">
        <v>14</v>
      </c>
      <c r="R28" s="10">
        <v>15</v>
      </c>
      <c r="S28" s="10">
        <v>16</v>
      </c>
      <c r="T28" s="10">
        <v>17</v>
      </c>
      <c r="U28" s="10">
        <v>18</v>
      </c>
      <c r="V28" s="10">
        <v>19</v>
      </c>
      <c r="W28" s="10">
        <v>20</v>
      </c>
      <c r="X28" s="10">
        <v>21</v>
      </c>
      <c r="Y28" s="10">
        <v>22</v>
      </c>
      <c r="Z28" s="10">
        <v>23</v>
      </c>
      <c r="AA28" s="10">
        <v>24</v>
      </c>
      <c r="AB28" s="10">
        <v>25</v>
      </c>
      <c r="AC28" s="10">
        <v>26</v>
      </c>
      <c r="AD28" s="10">
        <v>27</v>
      </c>
      <c r="AE28" s="10">
        <v>28</v>
      </c>
      <c r="AF28" s="10">
        <v>29</v>
      </c>
      <c r="AG28" s="10">
        <v>30</v>
      </c>
      <c r="AH28" s="10">
        <v>31</v>
      </c>
      <c r="AI28" s="10">
        <v>32</v>
      </c>
      <c r="AJ28" s="10">
        <v>33</v>
      </c>
      <c r="AK28" s="10">
        <v>34</v>
      </c>
      <c r="AL28" s="10">
        <v>35</v>
      </c>
      <c r="AM28" s="10">
        <v>36</v>
      </c>
      <c r="AN28" s="10">
        <v>37</v>
      </c>
      <c r="AO28" s="10">
        <v>38</v>
      </c>
      <c r="AP28" s="10">
        <v>39</v>
      </c>
      <c r="AQ28" s="10">
        <v>40</v>
      </c>
      <c r="AR28" s="10">
        <v>41</v>
      </c>
      <c r="AS28" s="10">
        <v>42</v>
      </c>
      <c r="AT28" s="10">
        <v>43</v>
      </c>
      <c r="AU28" s="10">
        <v>44</v>
      </c>
      <c r="AV28" s="10">
        <v>45</v>
      </c>
      <c r="AW28" s="10">
        <v>46</v>
      </c>
      <c r="AX28" s="10">
        <v>47</v>
      </c>
      <c r="AY28" s="10">
        <v>48</v>
      </c>
      <c r="AZ28" s="10">
        <v>49</v>
      </c>
      <c r="BA28" s="10">
        <v>50</v>
      </c>
      <c r="BB28" s="10">
        <v>51</v>
      </c>
      <c r="BC28" s="10">
        <v>52</v>
      </c>
      <c r="BD28" s="10">
        <v>53</v>
      </c>
      <c r="BE28" s="10">
        <v>54</v>
      </c>
      <c r="BF28" s="10">
        <v>55</v>
      </c>
      <c r="BG28" s="10">
        <v>56</v>
      </c>
      <c r="BH28" s="10">
        <v>57</v>
      </c>
      <c r="BI28" s="10">
        <v>58</v>
      </c>
      <c r="BJ28" s="10">
        <v>59</v>
      </c>
      <c r="BK28" s="10">
        <v>60</v>
      </c>
      <c r="BL28" s="10">
        <v>61</v>
      </c>
      <c r="BM28" s="10">
        <v>62</v>
      </c>
      <c r="BN28" s="10">
        <v>63</v>
      </c>
      <c r="BO28" s="10">
        <v>64</v>
      </c>
      <c r="BP28" s="10">
        <v>65</v>
      </c>
      <c r="BQ28" s="10">
        <v>66</v>
      </c>
      <c r="BR28" s="10">
        <v>67</v>
      </c>
      <c r="BS28" s="10">
        <v>68</v>
      </c>
      <c r="BT28" s="10">
        <v>69</v>
      </c>
      <c r="BU28" s="10">
        <v>70</v>
      </c>
      <c r="BV28" s="10">
        <v>71</v>
      </c>
      <c r="BW28" s="10">
        <v>72</v>
      </c>
      <c r="BX28" s="10">
        <v>73</v>
      </c>
      <c r="BY28" s="10">
        <v>74</v>
      </c>
      <c r="BZ28" s="10">
        <v>75</v>
      </c>
      <c r="CA28" s="10">
        <v>76</v>
      </c>
      <c r="CB28" s="10">
        <v>77</v>
      </c>
      <c r="CC28" s="10">
        <v>78</v>
      </c>
      <c r="CD28" s="10">
        <v>79</v>
      </c>
      <c r="CE28" s="10">
        <v>80</v>
      </c>
      <c r="CF28" s="10">
        <v>81</v>
      </c>
      <c r="CG28" s="10">
        <v>82</v>
      </c>
      <c r="CH28" s="10">
        <v>83</v>
      </c>
      <c r="CI28" s="10">
        <v>84</v>
      </c>
      <c r="CJ28" s="10">
        <v>85</v>
      </c>
      <c r="CK28" s="10">
        <v>86</v>
      </c>
      <c r="CL28" s="10">
        <v>87</v>
      </c>
      <c r="CM28" s="10">
        <v>88</v>
      </c>
      <c r="CN28" s="10">
        <v>89</v>
      </c>
      <c r="CO28" s="10">
        <v>90</v>
      </c>
      <c r="CP28" s="10">
        <v>91</v>
      </c>
      <c r="CQ28" s="10">
        <v>92</v>
      </c>
      <c r="CR28" s="10">
        <v>93</v>
      </c>
      <c r="CS28" s="10">
        <v>94</v>
      </c>
      <c r="CT28" s="10">
        <v>95</v>
      </c>
      <c r="CU28" s="10">
        <v>96</v>
      </c>
      <c r="CV28" s="10">
        <v>97</v>
      </c>
      <c r="CW28" s="10">
        <v>98</v>
      </c>
      <c r="CX28" s="10">
        <v>99</v>
      </c>
      <c r="CY28" s="10">
        <v>100</v>
      </c>
      <c r="CZ28" s="10">
        <v>101</v>
      </c>
    </row>
    <row r="29" spans="1:104" x14ac:dyDescent="0.3">
      <c r="A29" s="10">
        <v>2003</v>
      </c>
      <c r="C29" s="10">
        <v>169</v>
      </c>
      <c r="D29" s="10">
        <v>34</v>
      </c>
      <c r="E29" s="10">
        <v>24</v>
      </c>
      <c r="F29" s="10">
        <v>4</v>
      </c>
      <c r="G29" s="10">
        <v>12</v>
      </c>
      <c r="H29" s="10">
        <v>10</v>
      </c>
      <c r="I29" s="10">
        <v>11</v>
      </c>
      <c r="J29" s="10">
        <v>11</v>
      </c>
      <c r="K29" s="10">
        <v>5</v>
      </c>
      <c r="L29" s="10">
        <v>4</v>
      </c>
      <c r="M29" s="10">
        <v>7</v>
      </c>
      <c r="N29" s="10">
        <v>7</v>
      </c>
      <c r="O29" s="10">
        <v>10</v>
      </c>
      <c r="P29" s="10">
        <v>11</v>
      </c>
      <c r="Q29" s="10">
        <v>11</v>
      </c>
      <c r="R29" s="10">
        <v>16</v>
      </c>
      <c r="S29" s="10">
        <v>18</v>
      </c>
      <c r="T29" s="10">
        <v>21</v>
      </c>
      <c r="U29" s="10">
        <v>27</v>
      </c>
      <c r="V29" s="10">
        <v>41</v>
      </c>
      <c r="W29" s="10">
        <v>33</v>
      </c>
      <c r="X29" s="10">
        <v>26</v>
      </c>
      <c r="Y29" s="10">
        <v>35</v>
      </c>
      <c r="Z29" s="10">
        <v>30</v>
      </c>
      <c r="AA29" s="10">
        <v>33</v>
      </c>
      <c r="AB29" s="10">
        <v>40</v>
      </c>
      <c r="AC29" s="10">
        <v>42</v>
      </c>
      <c r="AD29" s="10">
        <v>37</v>
      </c>
      <c r="AE29" s="10">
        <v>49</v>
      </c>
      <c r="AF29" s="10">
        <v>38</v>
      </c>
      <c r="AG29" s="10">
        <v>44</v>
      </c>
      <c r="AH29" s="10">
        <v>45</v>
      </c>
      <c r="AI29" s="10">
        <v>61</v>
      </c>
      <c r="AJ29" s="10">
        <v>39</v>
      </c>
      <c r="AK29" s="10">
        <v>66</v>
      </c>
      <c r="AL29" s="10">
        <v>60</v>
      </c>
      <c r="AM29" s="10">
        <v>50</v>
      </c>
      <c r="AN29" s="10">
        <v>62</v>
      </c>
      <c r="AO29" s="10">
        <v>71</v>
      </c>
      <c r="AP29" s="10">
        <v>68</v>
      </c>
      <c r="AQ29" s="10">
        <v>81</v>
      </c>
      <c r="AR29" s="10">
        <v>81</v>
      </c>
      <c r="AS29" s="10">
        <v>82</v>
      </c>
      <c r="AT29" s="10">
        <v>95</v>
      </c>
      <c r="AU29" s="10">
        <v>107</v>
      </c>
      <c r="AV29" s="10">
        <v>120</v>
      </c>
      <c r="AW29" s="10">
        <v>105</v>
      </c>
      <c r="AX29" s="10">
        <v>134</v>
      </c>
      <c r="AY29" s="10">
        <v>134</v>
      </c>
      <c r="AZ29" s="10">
        <v>153</v>
      </c>
      <c r="BA29" s="10">
        <v>157</v>
      </c>
      <c r="BB29" s="10">
        <v>173</v>
      </c>
      <c r="BC29" s="10">
        <v>178</v>
      </c>
      <c r="BD29" s="10">
        <v>214</v>
      </c>
      <c r="BE29" s="10">
        <v>214</v>
      </c>
      <c r="BF29" s="10">
        <v>265</v>
      </c>
      <c r="BG29" s="10">
        <v>313</v>
      </c>
      <c r="BH29" s="10">
        <v>346</v>
      </c>
      <c r="BI29" s="10">
        <v>312</v>
      </c>
      <c r="BJ29" s="10">
        <v>335</v>
      </c>
      <c r="BK29" s="10">
        <v>348</v>
      </c>
      <c r="BL29" s="10">
        <v>306</v>
      </c>
      <c r="BM29" s="10">
        <v>330</v>
      </c>
      <c r="BN29" s="10">
        <v>354</v>
      </c>
      <c r="BO29" s="10">
        <v>401</v>
      </c>
      <c r="BP29" s="10">
        <v>386</v>
      </c>
      <c r="BQ29" s="10">
        <v>420</v>
      </c>
      <c r="BR29" s="10">
        <v>485</v>
      </c>
      <c r="BS29" s="10">
        <v>463</v>
      </c>
      <c r="BT29" s="10">
        <v>532</v>
      </c>
      <c r="BU29" s="10">
        <v>552</v>
      </c>
      <c r="BV29" s="10">
        <v>648</v>
      </c>
      <c r="BW29" s="10">
        <v>698</v>
      </c>
      <c r="BX29" s="10">
        <v>813</v>
      </c>
      <c r="BY29" s="10">
        <v>881</v>
      </c>
      <c r="BZ29" s="10">
        <v>884</v>
      </c>
      <c r="CA29" s="10">
        <v>1030</v>
      </c>
      <c r="CB29" s="10">
        <v>1137</v>
      </c>
      <c r="CC29" s="10">
        <v>1239</v>
      </c>
      <c r="CD29" s="10">
        <v>1344</v>
      </c>
      <c r="CE29" s="10">
        <v>1467</v>
      </c>
      <c r="CF29" s="10">
        <v>1595</v>
      </c>
      <c r="CG29" s="10">
        <v>1692</v>
      </c>
      <c r="CH29" s="10">
        <v>1912</v>
      </c>
      <c r="CI29" s="10">
        <v>1611</v>
      </c>
      <c r="CJ29" s="10">
        <v>1671</v>
      </c>
      <c r="CK29" s="10">
        <v>1782</v>
      </c>
      <c r="CL29" s="10">
        <v>1689</v>
      </c>
      <c r="CM29" s="10">
        <v>1634</v>
      </c>
      <c r="CN29" s="10">
        <v>1493</v>
      </c>
      <c r="CO29" s="10">
        <v>1457</v>
      </c>
      <c r="CP29" s="10">
        <v>1265</v>
      </c>
      <c r="CQ29" s="10">
        <v>1141</v>
      </c>
      <c r="CR29" s="10">
        <v>908</v>
      </c>
      <c r="CS29" s="10">
        <v>794</v>
      </c>
      <c r="CT29" s="10">
        <v>602</v>
      </c>
      <c r="CU29" s="10">
        <v>456</v>
      </c>
      <c r="CV29" s="10">
        <v>338</v>
      </c>
      <c r="CW29" s="10">
        <v>257</v>
      </c>
      <c r="CX29" s="10">
        <v>176</v>
      </c>
      <c r="CY29" s="10">
        <v>109</v>
      </c>
      <c r="CZ29" s="10">
        <v>88</v>
      </c>
    </row>
    <row r="30" spans="1:104" x14ac:dyDescent="0.3">
      <c r="A30" s="10">
        <v>2004</v>
      </c>
      <c r="C30" s="10">
        <v>154</v>
      </c>
      <c r="D30" s="10">
        <v>44</v>
      </c>
      <c r="E30" s="10">
        <v>15</v>
      </c>
      <c r="F30" s="10">
        <v>9</v>
      </c>
      <c r="G30" s="10">
        <v>6</v>
      </c>
      <c r="H30" s="10">
        <v>5</v>
      </c>
      <c r="I30" s="10">
        <v>7</v>
      </c>
      <c r="J30" s="10">
        <v>9</v>
      </c>
      <c r="K30" s="10">
        <v>5</v>
      </c>
      <c r="L30" s="10">
        <v>7</v>
      </c>
      <c r="M30" s="10">
        <v>3</v>
      </c>
      <c r="N30" s="10">
        <v>7</v>
      </c>
      <c r="O30" s="10">
        <v>10</v>
      </c>
      <c r="P30" s="10">
        <v>4</v>
      </c>
      <c r="Q30" s="10">
        <v>10</v>
      </c>
      <c r="R30" s="10">
        <v>11</v>
      </c>
      <c r="S30" s="10">
        <v>18</v>
      </c>
      <c r="T30" s="10">
        <v>19</v>
      </c>
      <c r="U30" s="10">
        <v>25</v>
      </c>
      <c r="V30" s="10">
        <v>40</v>
      </c>
      <c r="W30" s="10">
        <v>37</v>
      </c>
      <c r="X30" s="10">
        <v>38</v>
      </c>
      <c r="Y30" s="10">
        <v>31</v>
      </c>
      <c r="Z30" s="10">
        <v>39</v>
      </c>
      <c r="AA30" s="10">
        <v>38</v>
      </c>
      <c r="AB30" s="10">
        <v>45</v>
      </c>
      <c r="AC30" s="10">
        <v>54</v>
      </c>
      <c r="AD30" s="10">
        <v>40</v>
      </c>
      <c r="AE30" s="10">
        <v>33</v>
      </c>
      <c r="AF30" s="10">
        <v>40</v>
      </c>
      <c r="AG30" s="10">
        <v>43</v>
      </c>
      <c r="AH30" s="10">
        <v>27</v>
      </c>
      <c r="AI30" s="10">
        <v>45</v>
      </c>
      <c r="AJ30" s="10">
        <v>43</v>
      </c>
      <c r="AK30" s="10">
        <v>70</v>
      </c>
      <c r="AL30" s="10">
        <v>52</v>
      </c>
      <c r="AM30" s="10">
        <v>52</v>
      </c>
      <c r="AN30" s="10">
        <v>67</v>
      </c>
      <c r="AO30" s="10">
        <v>64</v>
      </c>
      <c r="AP30" s="10">
        <v>77</v>
      </c>
      <c r="AQ30" s="10">
        <v>86</v>
      </c>
      <c r="AR30" s="10">
        <v>72</v>
      </c>
      <c r="AS30" s="10">
        <v>78</v>
      </c>
      <c r="AT30" s="10">
        <v>76</v>
      </c>
      <c r="AU30" s="10">
        <v>100</v>
      </c>
      <c r="AV30" s="10">
        <v>113</v>
      </c>
      <c r="AW30" s="10">
        <v>111</v>
      </c>
      <c r="AX30" s="10">
        <v>121</v>
      </c>
      <c r="AY30" s="10">
        <v>133</v>
      </c>
      <c r="AZ30" s="10">
        <v>146</v>
      </c>
      <c r="BA30" s="10">
        <v>171</v>
      </c>
      <c r="BB30" s="10">
        <v>178</v>
      </c>
      <c r="BC30" s="10">
        <v>195</v>
      </c>
      <c r="BD30" s="10">
        <v>187</v>
      </c>
      <c r="BE30" s="10">
        <v>232</v>
      </c>
      <c r="BF30" s="10">
        <v>262</v>
      </c>
      <c r="BG30" s="10">
        <v>271</v>
      </c>
      <c r="BH30" s="10">
        <v>316</v>
      </c>
      <c r="BI30" s="10">
        <v>373</v>
      </c>
      <c r="BJ30" s="10">
        <v>331</v>
      </c>
      <c r="BK30" s="10">
        <v>387</v>
      </c>
      <c r="BL30" s="10">
        <v>339</v>
      </c>
      <c r="BM30" s="10">
        <v>322</v>
      </c>
      <c r="BN30" s="10">
        <v>315</v>
      </c>
      <c r="BO30" s="10">
        <v>359</v>
      </c>
      <c r="BP30" s="10">
        <v>414</v>
      </c>
      <c r="BQ30" s="10">
        <v>449</v>
      </c>
      <c r="BR30" s="10">
        <v>450</v>
      </c>
      <c r="BS30" s="10">
        <v>436</v>
      </c>
      <c r="BT30" s="10">
        <v>516</v>
      </c>
      <c r="BU30" s="10">
        <v>516</v>
      </c>
      <c r="BV30" s="10">
        <v>606</v>
      </c>
      <c r="BW30" s="10">
        <v>676</v>
      </c>
      <c r="BX30" s="10">
        <v>725</v>
      </c>
      <c r="BY30" s="10">
        <v>790</v>
      </c>
      <c r="BZ30" s="10">
        <v>862</v>
      </c>
      <c r="CA30" s="10">
        <v>951</v>
      </c>
      <c r="CB30" s="10">
        <v>1053</v>
      </c>
      <c r="CC30" s="10">
        <v>1145</v>
      </c>
      <c r="CD30" s="10">
        <v>1212</v>
      </c>
      <c r="CE30" s="10">
        <v>1406</v>
      </c>
      <c r="CF30" s="10">
        <v>1668</v>
      </c>
      <c r="CG30" s="10">
        <v>1623</v>
      </c>
      <c r="CH30" s="10">
        <v>1695</v>
      </c>
      <c r="CI30" s="10">
        <v>1886</v>
      </c>
      <c r="CJ30" s="10">
        <v>1610</v>
      </c>
      <c r="CK30" s="10">
        <v>1592</v>
      </c>
      <c r="CL30" s="10">
        <v>1690</v>
      </c>
      <c r="CM30" s="10">
        <v>1554</v>
      </c>
      <c r="CN30" s="10">
        <v>1460</v>
      </c>
      <c r="CO30" s="10">
        <v>1394</v>
      </c>
      <c r="CP30" s="10">
        <v>1259</v>
      </c>
      <c r="CQ30" s="10">
        <v>1073</v>
      </c>
      <c r="CR30" s="10">
        <v>985</v>
      </c>
      <c r="CS30" s="10">
        <v>777</v>
      </c>
      <c r="CT30" s="10">
        <v>581</v>
      </c>
      <c r="CU30" s="10">
        <v>470</v>
      </c>
      <c r="CV30" s="10">
        <v>375</v>
      </c>
      <c r="CW30" s="10">
        <v>236</v>
      </c>
      <c r="CX30" s="10">
        <v>158</v>
      </c>
      <c r="CY30" s="10">
        <v>105</v>
      </c>
      <c r="CZ30" s="10">
        <v>77</v>
      </c>
    </row>
    <row r="31" spans="1:104" x14ac:dyDescent="0.3">
      <c r="A31" s="10">
        <v>2005</v>
      </c>
      <c r="C31" s="10">
        <v>150</v>
      </c>
      <c r="D31" s="10">
        <v>39</v>
      </c>
      <c r="E31" s="10">
        <v>13</v>
      </c>
      <c r="F31" s="10">
        <v>14</v>
      </c>
      <c r="G31" s="10">
        <v>4</v>
      </c>
      <c r="H31" s="10">
        <v>12</v>
      </c>
      <c r="I31" s="10">
        <v>9</v>
      </c>
      <c r="J31" s="10">
        <v>3</v>
      </c>
      <c r="K31" s="10">
        <v>6</v>
      </c>
      <c r="L31" s="10">
        <v>8</v>
      </c>
      <c r="M31" s="10">
        <v>7</v>
      </c>
      <c r="N31" s="10">
        <v>6</v>
      </c>
      <c r="O31" s="10">
        <v>6</v>
      </c>
      <c r="P31" s="10">
        <v>4</v>
      </c>
      <c r="Q31" s="10">
        <v>9</v>
      </c>
      <c r="R31" s="10">
        <v>11</v>
      </c>
      <c r="S31" s="10">
        <v>13</v>
      </c>
      <c r="T31" s="10">
        <v>27</v>
      </c>
      <c r="U31" s="10">
        <v>19</v>
      </c>
      <c r="V31" s="10">
        <v>29</v>
      </c>
      <c r="W31" s="10">
        <v>31</v>
      </c>
      <c r="X31" s="10">
        <v>44</v>
      </c>
      <c r="Y31" s="10">
        <v>42</v>
      </c>
      <c r="Z31" s="10">
        <v>28</v>
      </c>
      <c r="AA31" s="10">
        <v>36</v>
      </c>
      <c r="AB31" s="10">
        <v>37</v>
      </c>
      <c r="AC31" s="10">
        <v>27</v>
      </c>
      <c r="AD31" s="10">
        <v>39</v>
      </c>
      <c r="AE31" s="10">
        <v>36</v>
      </c>
      <c r="AF31" s="10">
        <v>39</v>
      </c>
      <c r="AG31" s="10">
        <v>38</v>
      </c>
      <c r="AH31" s="10">
        <v>42</v>
      </c>
      <c r="AI31" s="10">
        <v>38</v>
      </c>
      <c r="AJ31" s="10">
        <v>45</v>
      </c>
      <c r="AK31" s="10">
        <v>51</v>
      </c>
      <c r="AL31" s="10">
        <v>66</v>
      </c>
      <c r="AM31" s="10">
        <v>60</v>
      </c>
      <c r="AN31" s="10">
        <v>65</v>
      </c>
      <c r="AO31" s="10">
        <v>72</v>
      </c>
      <c r="AP31" s="10">
        <v>72</v>
      </c>
      <c r="AQ31" s="10">
        <v>89</v>
      </c>
      <c r="AR31" s="10">
        <v>86</v>
      </c>
      <c r="AS31" s="10">
        <v>74</v>
      </c>
      <c r="AT31" s="10">
        <v>69</v>
      </c>
      <c r="AU31" s="10">
        <v>98</v>
      </c>
      <c r="AV31" s="10">
        <v>103</v>
      </c>
      <c r="AW31" s="10">
        <v>107</v>
      </c>
      <c r="AX31" s="10">
        <v>117</v>
      </c>
      <c r="AY31" s="10">
        <v>135</v>
      </c>
      <c r="AZ31" s="10">
        <v>163</v>
      </c>
      <c r="BA31" s="10">
        <v>149</v>
      </c>
      <c r="BB31" s="10">
        <v>181</v>
      </c>
      <c r="BC31" s="10">
        <v>190</v>
      </c>
      <c r="BD31" s="10">
        <v>202</v>
      </c>
      <c r="BE31" s="10">
        <v>226</v>
      </c>
      <c r="BF31" s="10">
        <v>241</v>
      </c>
      <c r="BG31" s="10">
        <v>256</v>
      </c>
      <c r="BH31" s="10">
        <v>283</v>
      </c>
      <c r="BI31" s="10">
        <v>321</v>
      </c>
      <c r="BJ31" s="10">
        <v>383</v>
      </c>
      <c r="BK31" s="10">
        <v>392</v>
      </c>
      <c r="BL31" s="10">
        <v>379</v>
      </c>
      <c r="BM31" s="10">
        <v>400</v>
      </c>
      <c r="BN31" s="10">
        <v>340</v>
      </c>
      <c r="BO31" s="10">
        <v>369</v>
      </c>
      <c r="BP31" s="10">
        <v>436</v>
      </c>
      <c r="BQ31" s="10">
        <v>396</v>
      </c>
      <c r="BR31" s="10">
        <v>427</v>
      </c>
      <c r="BS31" s="10">
        <v>465</v>
      </c>
      <c r="BT31" s="10">
        <v>504</v>
      </c>
      <c r="BU31" s="10">
        <v>526</v>
      </c>
      <c r="BV31" s="10">
        <v>590</v>
      </c>
      <c r="BW31" s="10">
        <v>568</v>
      </c>
      <c r="BX31" s="10">
        <v>712</v>
      </c>
      <c r="BY31" s="10">
        <v>801</v>
      </c>
      <c r="BZ31" s="10">
        <v>885</v>
      </c>
      <c r="CA31" s="10">
        <v>950</v>
      </c>
      <c r="CB31" s="10">
        <v>1014</v>
      </c>
      <c r="CC31" s="10">
        <v>1090</v>
      </c>
      <c r="CD31" s="10">
        <v>1300</v>
      </c>
      <c r="CE31" s="10">
        <v>1328</v>
      </c>
      <c r="CF31" s="10">
        <v>1459</v>
      </c>
      <c r="CG31" s="10">
        <v>1581</v>
      </c>
      <c r="CH31" s="10">
        <v>1647</v>
      </c>
      <c r="CI31" s="10">
        <v>1652</v>
      </c>
      <c r="CJ31" s="10">
        <v>1905</v>
      </c>
      <c r="CK31" s="10">
        <v>1687</v>
      </c>
      <c r="CL31" s="10">
        <v>1645</v>
      </c>
      <c r="CM31" s="10">
        <v>1640</v>
      </c>
      <c r="CN31" s="10">
        <v>1496</v>
      </c>
      <c r="CO31" s="10">
        <v>1399</v>
      </c>
      <c r="CP31" s="10">
        <v>1291</v>
      </c>
      <c r="CQ31" s="10">
        <v>1119</v>
      </c>
      <c r="CR31" s="10">
        <v>958</v>
      </c>
      <c r="CS31" s="10">
        <v>805</v>
      </c>
      <c r="CT31" s="10">
        <v>644</v>
      </c>
      <c r="CU31" s="10">
        <v>531</v>
      </c>
      <c r="CV31" s="10">
        <v>333</v>
      </c>
      <c r="CW31" s="10">
        <v>291</v>
      </c>
      <c r="CX31" s="10">
        <v>168</v>
      </c>
      <c r="CY31" s="10">
        <v>138</v>
      </c>
      <c r="CZ31" s="10">
        <v>85</v>
      </c>
    </row>
    <row r="32" spans="1:104" x14ac:dyDescent="0.3">
      <c r="A32" s="10">
        <v>2006</v>
      </c>
      <c r="C32" s="10">
        <v>175</v>
      </c>
      <c r="D32" s="10">
        <v>19</v>
      </c>
      <c r="E32" s="10">
        <v>8</v>
      </c>
      <c r="F32" s="10">
        <v>6</v>
      </c>
      <c r="G32" s="10">
        <v>11</v>
      </c>
      <c r="H32" s="10">
        <v>12</v>
      </c>
      <c r="I32" s="10">
        <v>6</v>
      </c>
      <c r="J32" s="10">
        <v>8</v>
      </c>
      <c r="K32" s="10">
        <v>3</v>
      </c>
      <c r="L32" s="10">
        <v>8</v>
      </c>
      <c r="M32" s="10">
        <v>8</v>
      </c>
      <c r="N32" s="10">
        <v>7</v>
      </c>
      <c r="O32" s="10">
        <v>2</v>
      </c>
      <c r="P32" s="10">
        <v>3</v>
      </c>
      <c r="Q32" s="10">
        <v>6</v>
      </c>
      <c r="R32" s="10">
        <v>10</v>
      </c>
      <c r="S32" s="10">
        <v>21</v>
      </c>
      <c r="T32" s="10">
        <v>14</v>
      </c>
      <c r="U32" s="10">
        <v>24</v>
      </c>
      <c r="V32" s="10">
        <v>23</v>
      </c>
      <c r="W32" s="10">
        <v>39</v>
      </c>
      <c r="X32" s="10">
        <v>29</v>
      </c>
      <c r="Y32" s="10">
        <v>32</v>
      </c>
      <c r="Z32" s="10">
        <v>29</v>
      </c>
      <c r="AA32" s="10">
        <v>35</v>
      </c>
      <c r="AB32" s="10">
        <v>37</v>
      </c>
      <c r="AC32" s="10">
        <v>27</v>
      </c>
      <c r="AD32" s="10">
        <v>50</v>
      </c>
      <c r="AE32" s="10">
        <v>36</v>
      </c>
      <c r="AF32" s="10">
        <v>41</v>
      </c>
      <c r="AG32" s="10">
        <v>22</v>
      </c>
      <c r="AH32" s="10">
        <v>35</v>
      </c>
      <c r="AI32" s="10">
        <v>52</v>
      </c>
      <c r="AJ32" s="10">
        <v>46</v>
      </c>
      <c r="AK32" s="10">
        <v>56</v>
      </c>
      <c r="AL32" s="10">
        <v>56</v>
      </c>
      <c r="AM32" s="10">
        <v>62</v>
      </c>
      <c r="AN32" s="10">
        <v>50</v>
      </c>
      <c r="AO32" s="10">
        <v>63</v>
      </c>
      <c r="AP32" s="10">
        <v>67</v>
      </c>
      <c r="AQ32" s="10">
        <v>66</v>
      </c>
      <c r="AR32" s="10">
        <v>69</v>
      </c>
      <c r="AS32" s="10">
        <v>74</v>
      </c>
      <c r="AT32" s="10">
        <v>69</v>
      </c>
      <c r="AU32" s="10">
        <v>85</v>
      </c>
      <c r="AV32" s="10">
        <v>96</v>
      </c>
      <c r="AW32" s="10">
        <v>127</v>
      </c>
      <c r="AX32" s="10">
        <v>114</v>
      </c>
      <c r="AY32" s="10">
        <v>126</v>
      </c>
      <c r="AZ32" s="10">
        <v>170</v>
      </c>
      <c r="BA32" s="10">
        <v>150</v>
      </c>
      <c r="BB32" s="10">
        <v>168</v>
      </c>
      <c r="BC32" s="10">
        <v>195</v>
      </c>
      <c r="BD32" s="10">
        <v>209</v>
      </c>
      <c r="BE32" s="10">
        <v>216</v>
      </c>
      <c r="BF32" s="10">
        <v>229</v>
      </c>
      <c r="BG32" s="10">
        <v>258</v>
      </c>
      <c r="BH32" s="10">
        <v>292</v>
      </c>
      <c r="BI32" s="10">
        <v>301</v>
      </c>
      <c r="BJ32" s="10">
        <v>339</v>
      </c>
      <c r="BK32" s="10">
        <v>409</v>
      </c>
      <c r="BL32" s="10">
        <v>407</v>
      </c>
      <c r="BM32" s="10">
        <v>439</v>
      </c>
      <c r="BN32" s="10">
        <v>435</v>
      </c>
      <c r="BO32" s="10">
        <v>408</v>
      </c>
      <c r="BP32" s="10">
        <v>367</v>
      </c>
      <c r="BQ32" s="10">
        <v>387</v>
      </c>
      <c r="BR32" s="10">
        <v>453</v>
      </c>
      <c r="BS32" s="10">
        <v>481</v>
      </c>
      <c r="BT32" s="10">
        <v>526</v>
      </c>
      <c r="BU32" s="10">
        <v>465</v>
      </c>
      <c r="BV32" s="10">
        <v>498</v>
      </c>
      <c r="BW32" s="10">
        <v>606</v>
      </c>
      <c r="BX32" s="10">
        <v>681</v>
      </c>
      <c r="BY32" s="10">
        <v>723</v>
      </c>
      <c r="BZ32" s="10">
        <v>838</v>
      </c>
      <c r="CA32" s="10">
        <v>916</v>
      </c>
      <c r="CB32" s="10">
        <v>948</v>
      </c>
      <c r="CC32" s="10">
        <v>1045</v>
      </c>
      <c r="CD32" s="10">
        <v>1169</v>
      </c>
      <c r="CE32" s="10">
        <v>1271</v>
      </c>
      <c r="CF32" s="10">
        <v>1380</v>
      </c>
      <c r="CG32" s="10">
        <v>1541</v>
      </c>
      <c r="CH32" s="10">
        <v>1717</v>
      </c>
      <c r="CI32" s="10">
        <v>1738</v>
      </c>
      <c r="CJ32" s="10">
        <v>1854</v>
      </c>
      <c r="CK32" s="10">
        <v>1932</v>
      </c>
      <c r="CL32" s="10">
        <v>1582</v>
      </c>
      <c r="CM32" s="10">
        <v>1630</v>
      </c>
      <c r="CN32" s="10">
        <v>1612</v>
      </c>
      <c r="CO32" s="10">
        <v>1471</v>
      </c>
      <c r="CP32" s="10">
        <v>1267</v>
      </c>
      <c r="CQ32" s="10">
        <v>1177</v>
      </c>
      <c r="CR32" s="10">
        <v>997</v>
      </c>
      <c r="CS32" s="10">
        <v>835</v>
      </c>
      <c r="CT32" s="10">
        <v>685</v>
      </c>
      <c r="CU32" s="10">
        <v>521</v>
      </c>
      <c r="CV32" s="10">
        <v>433</v>
      </c>
      <c r="CW32" s="10">
        <v>291</v>
      </c>
      <c r="CX32" s="10">
        <v>200</v>
      </c>
      <c r="CY32" s="10">
        <v>132</v>
      </c>
      <c r="CZ32" s="10">
        <v>69</v>
      </c>
    </row>
    <row r="33" spans="1:104" x14ac:dyDescent="0.3">
      <c r="A33" s="10">
        <v>2007</v>
      </c>
      <c r="C33" s="10">
        <v>159</v>
      </c>
      <c r="D33" s="10">
        <v>33</v>
      </c>
      <c r="E33" s="10">
        <v>8</v>
      </c>
      <c r="F33" s="10">
        <v>12</v>
      </c>
      <c r="G33" s="10">
        <v>2</v>
      </c>
      <c r="H33" s="10">
        <v>5</v>
      </c>
      <c r="I33" s="10">
        <v>4</v>
      </c>
      <c r="J33" s="10">
        <v>4</v>
      </c>
      <c r="K33" s="10">
        <v>5</v>
      </c>
      <c r="L33" s="10">
        <v>5</v>
      </c>
      <c r="M33" s="10">
        <v>7</v>
      </c>
      <c r="N33" s="10">
        <v>5</v>
      </c>
      <c r="O33" s="10">
        <v>11</v>
      </c>
      <c r="P33" s="10">
        <v>9</v>
      </c>
      <c r="Q33" s="10">
        <v>4</v>
      </c>
      <c r="R33" s="10">
        <v>5</v>
      </c>
      <c r="S33" s="10">
        <v>15</v>
      </c>
      <c r="T33" s="10">
        <v>15</v>
      </c>
      <c r="U33" s="10">
        <v>24</v>
      </c>
      <c r="V33" s="10">
        <v>30</v>
      </c>
      <c r="W33" s="10">
        <v>27</v>
      </c>
      <c r="X33" s="10">
        <v>28</v>
      </c>
      <c r="Y33" s="10">
        <v>36</v>
      </c>
      <c r="Z33" s="10">
        <v>26</v>
      </c>
      <c r="AA33" s="10">
        <v>34</v>
      </c>
      <c r="AB33" s="10">
        <v>30</v>
      </c>
      <c r="AC33" s="10">
        <v>33</v>
      </c>
      <c r="AD33" s="10">
        <v>42</v>
      </c>
      <c r="AE33" s="10">
        <v>49</v>
      </c>
      <c r="AF33" s="10">
        <v>37</v>
      </c>
      <c r="AG33" s="10">
        <v>32</v>
      </c>
      <c r="AH33" s="10">
        <v>26</v>
      </c>
      <c r="AI33" s="10">
        <v>46</v>
      </c>
      <c r="AJ33" s="10">
        <v>39</v>
      </c>
      <c r="AK33" s="10">
        <v>41</v>
      </c>
      <c r="AL33" s="10">
        <v>41</v>
      </c>
      <c r="AM33" s="10">
        <v>53</v>
      </c>
      <c r="AN33" s="10">
        <v>66</v>
      </c>
      <c r="AO33" s="10">
        <v>52</v>
      </c>
      <c r="AP33" s="10">
        <v>55</v>
      </c>
      <c r="AQ33" s="10">
        <v>56</v>
      </c>
      <c r="AR33" s="10">
        <v>61</v>
      </c>
      <c r="AS33" s="10">
        <v>77</v>
      </c>
      <c r="AT33" s="10">
        <v>77</v>
      </c>
      <c r="AU33" s="10">
        <v>98</v>
      </c>
      <c r="AV33" s="10">
        <v>111</v>
      </c>
      <c r="AW33" s="10">
        <v>101</v>
      </c>
      <c r="AX33" s="10">
        <v>124</v>
      </c>
      <c r="AY33" s="10">
        <v>123</v>
      </c>
      <c r="AZ33" s="10">
        <v>153</v>
      </c>
      <c r="BA33" s="10">
        <v>157</v>
      </c>
      <c r="BB33" s="10">
        <v>160</v>
      </c>
      <c r="BC33" s="10">
        <v>195</v>
      </c>
      <c r="BD33" s="10">
        <v>208</v>
      </c>
      <c r="BE33" s="10">
        <v>214</v>
      </c>
      <c r="BF33" s="10">
        <v>221</v>
      </c>
      <c r="BG33" s="10">
        <v>239</v>
      </c>
      <c r="BH33" s="10">
        <v>279</v>
      </c>
      <c r="BI33" s="10">
        <v>277</v>
      </c>
      <c r="BJ33" s="10">
        <v>325</v>
      </c>
      <c r="BK33" s="10">
        <v>422</v>
      </c>
      <c r="BL33" s="10">
        <v>415</v>
      </c>
      <c r="BM33" s="10">
        <v>411</v>
      </c>
      <c r="BN33" s="10">
        <v>451</v>
      </c>
      <c r="BO33" s="10">
        <v>434</v>
      </c>
      <c r="BP33" s="10">
        <v>480</v>
      </c>
      <c r="BQ33" s="10">
        <v>404</v>
      </c>
      <c r="BR33" s="10">
        <v>488</v>
      </c>
      <c r="BS33" s="10">
        <v>509</v>
      </c>
      <c r="BT33" s="10">
        <v>512</v>
      </c>
      <c r="BU33" s="10">
        <v>535</v>
      </c>
      <c r="BV33" s="10">
        <v>529</v>
      </c>
      <c r="BW33" s="10">
        <v>605</v>
      </c>
      <c r="BX33" s="10">
        <v>614</v>
      </c>
      <c r="BY33" s="10">
        <v>701</v>
      </c>
      <c r="BZ33" s="10">
        <v>864</v>
      </c>
      <c r="CA33" s="10">
        <v>890</v>
      </c>
      <c r="CB33" s="10">
        <v>1029</v>
      </c>
      <c r="CC33" s="10">
        <v>1079</v>
      </c>
      <c r="CD33" s="10">
        <v>1136</v>
      </c>
      <c r="CE33" s="10">
        <v>1291</v>
      </c>
      <c r="CF33" s="10">
        <v>1384</v>
      </c>
      <c r="CG33" s="10">
        <v>1498</v>
      </c>
      <c r="CH33" s="10">
        <v>1679</v>
      </c>
      <c r="CI33" s="10">
        <v>1732</v>
      </c>
      <c r="CJ33" s="10">
        <v>1807</v>
      </c>
      <c r="CK33" s="10">
        <v>1870</v>
      </c>
      <c r="CL33" s="10">
        <v>1968</v>
      </c>
      <c r="CM33" s="10">
        <v>1574</v>
      </c>
      <c r="CN33" s="10">
        <v>1641</v>
      </c>
      <c r="CO33" s="10">
        <v>1551</v>
      </c>
      <c r="CP33" s="10">
        <v>1340</v>
      </c>
      <c r="CQ33" s="10">
        <v>1173</v>
      </c>
      <c r="CR33" s="10">
        <v>1027</v>
      </c>
      <c r="CS33" s="10">
        <v>871</v>
      </c>
      <c r="CT33" s="10">
        <v>753</v>
      </c>
      <c r="CU33" s="10">
        <v>552</v>
      </c>
      <c r="CV33" s="10">
        <v>425</v>
      </c>
      <c r="CW33" s="10">
        <v>308</v>
      </c>
      <c r="CX33" s="10">
        <v>206</v>
      </c>
      <c r="CY33" s="10">
        <v>151</v>
      </c>
      <c r="CZ33" s="10">
        <v>112</v>
      </c>
    </row>
    <row r="34" spans="1:104" x14ac:dyDescent="0.3">
      <c r="A34" s="10">
        <v>2008</v>
      </c>
      <c r="C34" s="10">
        <v>146</v>
      </c>
      <c r="D34" s="10">
        <v>24</v>
      </c>
      <c r="E34" s="10">
        <v>16</v>
      </c>
      <c r="F34" s="10">
        <v>10</v>
      </c>
      <c r="G34" s="10">
        <v>3</v>
      </c>
      <c r="H34" s="10">
        <v>7</v>
      </c>
      <c r="I34" s="10">
        <v>6</v>
      </c>
      <c r="J34" s="10">
        <v>5</v>
      </c>
      <c r="K34" s="10">
        <v>6</v>
      </c>
      <c r="L34" s="10">
        <v>6</v>
      </c>
      <c r="M34" s="10">
        <v>6</v>
      </c>
      <c r="N34" s="10">
        <v>4</v>
      </c>
      <c r="O34" s="10">
        <v>3</v>
      </c>
      <c r="P34" s="10">
        <v>8</v>
      </c>
      <c r="Q34" s="10">
        <v>8</v>
      </c>
      <c r="R34" s="10">
        <v>10</v>
      </c>
      <c r="S34" s="10">
        <v>11</v>
      </c>
      <c r="T34" s="10">
        <v>18</v>
      </c>
      <c r="U34" s="10">
        <v>30</v>
      </c>
      <c r="V34" s="10">
        <v>35</v>
      </c>
      <c r="W34" s="10">
        <v>37</v>
      </c>
      <c r="X34" s="10">
        <v>33</v>
      </c>
      <c r="Y34" s="10">
        <v>25</v>
      </c>
      <c r="Z34" s="10">
        <v>39</v>
      </c>
      <c r="AA34" s="10">
        <v>31</v>
      </c>
      <c r="AB34" s="10">
        <v>43</v>
      </c>
      <c r="AC34" s="10">
        <v>33</v>
      </c>
      <c r="AD34" s="10">
        <v>39</v>
      </c>
      <c r="AE34" s="10">
        <v>37</v>
      </c>
      <c r="AF34" s="10">
        <v>37</v>
      </c>
      <c r="AG34" s="10">
        <v>41</v>
      </c>
      <c r="AH34" s="10">
        <v>23</v>
      </c>
      <c r="AI34" s="10">
        <v>32</v>
      </c>
      <c r="AJ34" s="10">
        <v>50</v>
      </c>
      <c r="AK34" s="10">
        <v>52</v>
      </c>
      <c r="AL34" s="10">
        <v>43</v>
      </c>
      <c r="AM34" s="10">
        <v>52</v>
      </c>
      <c r="AN34" s="10">
        <v>51</v>
      </c>
      <c r="AO34" s="10">
        <v>66</v>
      </c>
      <c r="AP34" s="10">
        <v>66</v>
      </c>
      <c r="AQ34" s="10">
        <v>74</v>
      </c>
      <c r="AR34" s="10">
        <v>68</v>
      </c>
      <c r="AS34" s="10">
        <v>70</v>
      </c>
      <c r="AT34" s="10">
        <v>93</v>
      </c>
      <c r="AU34" s="10">
        <v>99</v>
      </c>
      <c r="AV34" s="10">
        <v>91</v>
      </c>
      <c r="AW34" s="10">
        <v>98</v>
      </c>
      <c r="AX34" s="10">
        <v>104</v>
      </c>
      <c r="AY34" s="10">
        <v>141</v>
      </c>
      <c r="AZ34" s="10">
        <v>139</v>
      </c>
      <c r="BA34" s="10">
        <v>135</v>
      </c>
      <c r="BB34" s="10">
        <v>169</v>
      </c>
      <c r="BC34" s="10">
        <v>190</v>
      </c>
      <c r="BD34" s="10">
        <v>217</v>
      </c>
      <c r="BE34" s="10">
        <v>210</v>
      </c>
      <c r="BF34" s="10">
        <v>219</v>
      </c>
      <c r="BG34" s="10">
        <v>240</v>
      </c>
      <c r="BH34" s="10">
        <v>259</v>
      </c>
      <c r="BI34" s="10">
        <v>279</v>
      </c>
      <c r="BJ34" s="10">
        <v>316</v>
      </c>
      <c r="BK34" s="10">
        <v>371</v>
      </c>
      <c r="BL34" s="10">
        <v>391</v>
      </c>
      <c r="BM34" s="10">
        <v>463</v>
      </c>
      <c r="BN34" s="10">
        <v>512</v>
      </c>
      <c r="BO34" s="10">
        <v>484</v>
      </c>
      <c r="BP34" s="10">
        <v>473</v>
      </c>
      <c r="BQ34" s="10">
        <v>489</v>
      </c>
      <c r="BR34" s="10">
        <v>455</v>
      </c>
      <c r="BS34" s="10">
        <v>533</v>
      </c>
      <c r="BT34" s="10">
        <v>514</v>
      </c>
      <c r="BU34" s="10">
        <v>504</v>
      </c>
      <c r="BV34" s="10">
        <v>578</v>
      </c>
      <c r="BW34" s="10">
        <v>605</v>
      </c>
      <c r="BX34" s="10">
        <v>655</v>
      </c>
      <c r="BY34" s="10">
        <v>657</v>
      </c>
      <c r="BZ34" s="10">
        <v>764</v>
      </c>
      <c r="CA34" s="10">
        <v>832</v>
      </c>
      <c r="CB34" s="10">
        <v>953</v>
      </c>
      <c r="CC34" s="10">
        <v>1093</v>
      </c>
      <c r="CD34" s="10">
        <v>1208</v>
      </c>
      <c r="CE34" s="10">
        <v>1217</v>
      </c>
      <c r="CF34" s="10">
        <v>1322</v>
      </c>
      <c r="CG34" s="10">
        <v>1422</v>
      </c>
      <c r="CH34" s="10">
        <v>1533</v>
      </c>
      <c r="CI34" s="10">
        <v>1698</v>
      </c>
      <c r="CJ34" s="10">
        <v>1777</v>
      </c>
      <c r="CK34" s="10">
        <v>1782</v>
      </c>
      <c r="CL34" s="10">
        <v>1913</v>
      </c>
      <c r="CM34" s="10">
        <v>1921</v>
      </c>
      <c r="CN34" s="10">
        <v>1435</v>
      </c>
      <c r="CO34" s="10">
        <v>1504</v>
      </c>
      <c r="CP34" s="10">
        <v>1429</v>
      </c>
      <c r="CQ34" s="10">
        <v>1273</v>
      </c>
      <c r="CR34" s="10">
        <v>1028</v>
      </c>
      <c r="CS34" s="10">
        <v>877</v>
      </c>
      <c r="CT34" s="10">
        <v>689</v>
      </c>
      <c r="CU34" s="10">
        <v>619</v>
      </c>
      <c r="CV34" s="10">
        <v>412</v>
      </c>
      <c r="CW34" s="10">
        <v>320</v>
      </c>
      <c r="CX34" s="10">
        <v>197</v>
      </c>
      <c r="CY34" s="10">
        <v>162</v>
      </c>
      <c r="CZ34" s="10">
        <v>97</v>
      </c>
    </row>
    <row r="35" spans="1:104" x14ac:dyDescent="0.3">
      <c r="A35" s="10">
        <v>2009</v>
      </c>
      <c r="C35" s="10">
        <v>162</v>
      </c>
      <c r="D35" s="10">
        <v>34</v>
      </c>
      <c r="E35" s="10">
        <v>14</v>
      </c>
      <c r="F35" s="10">
        <v>10</v>
      </c>
      <c r="G35" s="10">
        <v>8</v>
      </c>
      <c r="H35" s="10">
        <v>4</v>
      </c>
      <c r="I35" s="10">
        <v>6</v>
      </c>
      <c r="J35" s="10">
        <v>9</v>
      </c>
      <c r="K35" s="10">
        <v>4</v>
      </c>
      <c r="L35" s="10">
        <v>7</v>
      </c>
      <c r="M35" s="10">
        <v>6</v>
      </c>
      <c r="N35" s="10">
        <v>4</v>
      </c>
      <c r="O35" s="10">
        <v>8</v>
      </c>
      <c r="P35" s="10">
        <v>6</v>
      </c>
      <c r="Q35" s="10">
        <v>3</v>
      </c>
      <c r="R35" s="10">
        <v>11</v>
      </c>
      <c r="S35" s="10">
        <v>12</v>
      </c>
      <c r="T35" s="10">
        <v>25</v>
      </c>
      <c r="U35" s="10">
        <v>26</v>
      </c>
      <c r="V35" s="10">
        <v>37</v>
      </c>
      <c r="W35" s="10">
        <v>45</v>
      </c>
      <c r="X35" s="10">
        <v>30</v>
      </c>
      <c r="Y35" s="10">
        <v>22</v>
      </c>
      <c r="Z35" s="10">
        <v>28</v>
      </c>
      <c r="AA35" s="10">
        <v>27</v>
      </c>
      <c r="AB35" s="10">
        <v>37</v>
      </c>
      <c r="AC35" s="10">
        <v>32</v>
      </c>
      <c r="AD35" s="10">
        <v>39</v>
      </c>
      <c r="AE35" s="10">
        <v>39</v>
      </c>
      <c r="AF35" s="10">
        <v>52</v>
      </c>
      <c r="AG35" s="10">
        <v>32</v>
      </c>
      <c r="AH35" s="10">
        <v>36</v>
      </c>
      <c r="AI35" s="10">
        <v>49</v>
      </c>
      <c r="AJ35" s="10">
        <v>39</v>
      </c>
      <c r="AK35" s="10">
        <v>44</v>
      </c>
      <c r="AL35" s="10">
        <v>47</v>
      </c>
      <c r="AM35" s="10">
        <v>55</v>
      </c>
      <c r="AN35" s="10">
        <v>61</v>
      </c>
      <c r="AO35" s="10">
        <v>61</v>
      </c>
      <c r="AP35" s="10">
        <v>51</v>
      </c>
      <c r="AQ35" s="10">
        <v>71</v>
      </c>
      <c r="AR35" s="10">
        <v>70</v>
      </c>
      <c r="AS35" s="10">
        <v>76</v>
      </c>
      <c r="AT35" s="10">
        <v>93</v>
      </c>
      <c r="AU35" s="10">
        <v>95</v>
      </c>
      <c r="AV35" s="10">
        <v>93</v>
      </c>
      <c r="AW35" s="10">
        <v>107</v>
      </c>
      <c r="AX35" s="10">
        <v>105</v>
      </c>
      <c r="AY35" s="10">
        <v>126</v>
      </c>
      <c r="AZ35" s="10">
        <v>137</v>
      </c>
      <c r="BA35" s="10">
        <v>157</v>
      </c>
      <c r="BB35" s="10">
        <v>165</v>
      </c>
      <c r="BC35" s="10">
        <v>198</v>
      </c>
      <c r="BD35" s="10">
        <v>180</v>
      </c>
      <c r="BE35" s="10">
        <v>260</v>
      </c>
      <c r="BF35" s="10">
        <v>223</v>
      </c>
      <c r="BG35" s="10">
        <v>255</v>
      </c>
      <c r="BH35" s="10">
        <v>248</v>
      </c>
      <c r="BI35" s="10">
        <v>287</v>
      </c>
      <c r="BJ35" s="10">
        <v>329</v>
      </c>
      <c r="BK35" s="10">
        <v>361</v>
      </c>
      <c r="BL35" s="10">
        <v>374</v>
      </c>
      <c r="BM35" s="10">
        <v>428</v>
      </c>
      <c r="BN35" s="10">
        <v>506</v>
      </c>
      <c r="BO35" s="10">
        <v>506</v>
      </c>
      <c r="BP35" s="10">
        <v>496</v>
      </c>
      <c r="BQ35" s="10">
        <v>502</v>
      </c>
      <c r="BR35" s="10">
        <v>503</v>
      </c>
      <c r="BS35" s="10">
        <v>488</v>
      </c>
      <c r="BT35" s="10">
        <v>498</v>
      </c>
      <c r="BU35" s="10">
        <v>575</v>
      </c>
      <c r="BV35" s="10">
        <v>582</v>
      </c>
      <c r="BW35" s="10">
        <v>574</v>
      </c>
      <c r="BX35" s="10">
        <v>629</v>
      </c>
      <c r="BY35" s="10">
        <v>673</v>
      </c>
      <c r="BZ35" s="10">
        <v>719</v>
      </c>
      <c r="CA35" s="10">
        <v>788</v>
      </c>
      <c r="CB35" s="10">
        <v>893</v>
      </c>
      <c r="CC35" s="10">
        <v>1004</v>
      </c>
      <c r="CD35" s="10">
        <v>1083</v>
      </c>
      <c r="CE35" s="10">
        <v>1205</v>
      </c>
      <c r="CF35" s="10">
        <v>1299</v>
      </c>
      <c r="CG35" s="10">
        <v>1350</v>
      </c>
      <c r="CH35" s="10">
        <v>1528</v>
      </c>
      <c r="CI35" s="10">
        <v>1600</v>
      </c>
      <c r="CJ35" s="10">
        <v>1693</v>
      </c>
      <c r="CK35" s="10">
        <v>1834</v>
      </c>
      <c r="CL35" s="10">
        <v>1765</v>
      </c>
      <c r="CM35" s="10">
        <v>1791</v>
      </c>
      <c r="CN35" s="10">
        <v>1843</v>
      </c>
      <c r="CO35" s="10">
        <v>1464</v>
      </c>
      <c r="CP35" s="10">
        <v>1390</v>
      </c>
      <c r="CQ35" s="10">
        <v>1319</v>
      </c>
      <c r="CR35" s="10">
        <v>1026</v>
      </c>
      <c r="CS35" s="10">
        <v>907</v>
      </c>
      <c r="CT35" s="10">
        <v>715</v>
      </c>
      <c r="CU35" s="10">
        <v>612</v>
      </c>
      <c r="CV35" s="10">
        <v>482</v>
      </c>
      <c r="CW35" s="10">
        <v>314</v>
      </c>
      <c r="CX35" s="10">
        <v>232</v>
      </c>
      <c r="CY35" s="10">
        <v>154</v>
      </c>
      <c r="CZ35" s="10">
        <v>96</v>
      </c>
    </row>
    <row r="36" spans="1:104" x14ac:dyDescent="0.3">
      <c r="A36" s="10">
        <v>2010</v>
      </c>
      <c r="C36" s="10">
        <v>147</v>
      </c>
      <c r="D36" s="10">
        <v>34</v>
      </c>
      <c r="E36" s="10">
        <v>8</v>
      </c>
      <c r="F36" s="10">
        <v>4</v>
      </c>
      <c r="G36" s="10">
        <v>6</v>
      </c>
      <c r="H36" s="10">
        <v>3</v>
      </c>
      <c r="I36" s="10">
        <v>6</v>
      </c>
      <c r="J36" s="10">
        <v>5</v>
      </c>
      <c r="K36" s="10">
        <v>3</v>
      </c>
      <c r="L36" s="10">
        <v>7</v>
      </c>
      <c r="M36" s="10">
        <v>10</v>
      </c>
      <c r="N36" s="10">
        <v>2</v>
      </c>
      <c r="O36" s="10">
        <v>1</v>
      </c>
      <c r="P36" s="10">
        <v>9</v>
      </c>
      <c r="Q36" s="10">
        <v>12</v>
      </c>
      <c r="R36" s="10">
        <v>6</v>
      </c>
      <c r="S36" s="10">
        <v>15</v>
      </c>
      <c r="T36" s="10">
        <v>12</v>
      </c>
      <c r="U36" s="10">
        <v>28</v>
      </c>
      <c r="V36" s="10">
        <v>27</v>
      </c>
      <c r="W36" s="10">
        <v>41</v>
      </c>
      <c r="X36" s="10">
        <v>41</v>
      </c>
      <c r="Y36" s="10">
        <v>27</v>
      </c>
      <c r="Z36" s="10">
        <v>49</v>
      </c>
      <c r="AA36" s="10">
        <v>28</v>
      </c>
      <c r="AB36" s="10">
        <v>35</v>
      </c>
      <c r="AC36" s="10">
        <v>31</v>
      </c>
      <c r="AD36" s="10">
        <v>36</v>
      </c>
      <c r="AE36" s="10">
        <v>40</v>
      </c>
      <c r="AF36" s="10">
        <v>45</v>
      </c>
      <c r="AG36" s="10">
        <v>46</v>
      </c>
      <c r="AH36" s="10">
        <v>41</v>
      </c>
      <c r="AI36" s="10">
        <v>27</v>
      </c>
      <c r="AJ36" s="10">
        <v>37</v>
      </c>
      <c r="AK36" s="10">
        <v>37</v>
      </c>
      <c r="AL36" s="10">
        <v>46</v>
      </c>
      <c r="AM36" s="10">
        <v>45</v>
      </c>
      <c r="AN36" s="10">
        <v>49</v>
      </c>
      <c r="AO36" s="10">
        <v>55</v>
      </c>
      <c r="AP36" s="10">
        <v>49</v>
      </c>
      <c r="AQ36" s="10">
        <v>57</v>
      </c>
      <c r="AR36" s="10">
        <v>69</v>
      </c>
      <c r="AS36" s="10">
        <v>86</v>
      </c>
      <c r="AT36" s="10">
        <v>80</v>
      </c>
      <c r="AU36" s="10">
        <v>91</v>
      </c>
      <c r="AV36" s="10">
        <v>94</v>
      </c>
      <c r="AW36" s="10">
        <v>95</v>
      </c>
      <c r="AX36" s="10">
        <v>113</v>
      </c>
      <c r="AY36" s="10">
        <v>118</v>
      </c>
      <c r="AZ36" s="10">
        <v>146</v>
      </c>
      <c r="BA36" s="10">
        <v>154</v>
      </c>
      <c r="BB36" s="10">
        <v>176</v>
      </c>
      <c r="BC36" s="10">
        <v>191</v>
      </c>
      <c r="BD36" s="10">
        <v>200</v>
      </c>
      <c r="BE36" s="10">
        <v>218</v>
      </c>
      <c r="BF36" s="10">
        <v>221</v>
      </c>
      <c r="BG36" s="10">
        <v>271</v>
      </c>
      <c r="BH36" s="10">
        <v>272</v>
      </c>
      <c r="BI36" s="10">
        <v>273</v>
      </c>
      <c r="BJ36" s="10">
        <v>316</v>
      </c>
      <c r="BK36" s="10">
        <v>343</v>
      </c>
      <c r="BL36" s="10">
        <v>368</v>
      </c>
      <c r="BM36" s="10">
        <v>424</v>
      </c>
      <c r="BN36" s="10">
        <v>500</v>
      </c>
      <c r="BO36" s="10">
        <v>549</v>
      </c>
      <c r="BP36" s="10">
        <v>555</v>
      </c>
      <c r="BQ36" s="10">
        <v>588</v>
      </c>
      <c r="BR36" s="10">
        <v>548</v>
      </c>
      <c r="BS36" s="10">
        <v>520</v>
      </c>
      <c r="BT36" s="10">
        <v>539</v>
      </c>
      <c r="BU36" s="10">
        <v>546</v>
      </c>
      <c r="BV36" s="10">
        <v>610</v>
      </c>
      <c r="BW36" s="10">
        <v>616</v>
      </c>
      <c r="BX36" s="10">
        <v>654</v>
      </c>
      <c r="BY36" s="10">
        <v>680</v>
      </c>
      <c r="BZ36" s="10">
        <v>711</v>
      </c>
      <c r="CA36" s="10">
        <v>795</v>
      </c>
      <c r="CB36" s="10">
        <v>875</v>
      </c>
      <c r="CC36" s="10">
        <v>961</v>
      </c>
      <c r="CD36" s="10">
        <v>1085</v>
      </c>
      <c r="CE36" s="10">
        <v>1145</v>
      </c>
      <c r="CF36" s="10">
        <v>1289</v>
      </c>
      <c r="CG36" s="10">
        <v>1328</v>
      </c>
      <c r="CH36" s="10">
        <v>1420</v>
      </c>
      <c r="CI36" s="10">
        <v>1590</v>
      </c>
      <c r="CJ36" s="10">
        <v>1555</v>
      </c>
      <c r="CK36" s="10">
        <v>1692</v>
      </c>
      <c r="CL36" s="10">
        <v>1729</v>
      </c>
      <c r="CM36" s="10">
        <v>1751</v>
      </c>
      <c r="CN36" s="10">
        <v>1725</v>
      </c>
      <c r="CO36" s="10">
        <v>1753</v>
      </c>
      <c r="CP36" s="10">
        <v>1393</v>
      </c>
      <c r="CQ36" s="10">
        <v>1305</v>
      </c>
      <c r="CR36" s="10">
        <v>1164</v>
      </c>
      <c r="CS36" s="10">
        <v>936</v>
      </c>
      <c r="CT36" s="10">
        <v>758</v>
      </c>
      <c r="CU36" s="10">
        <v>618</v>
      </c>
      <c r="CV36" s="10">
        <v>458</v>
      </c>
      <c r="CW36" s="10">
        <v>370</v>
      </c>
      <c r="CX36" s="10">
        <v>227</v>
      </c>
      <c r="CY36" s="10">
        <v>188</v>
      </c>
      <c r="CZ36" s="10">
        <v>101</v>
      </c>
    </row>
    <row r="37" spans="1:104" x14ac:dyDescent="0.3">
      <c r="A37" s="10">
        <v>2011</v>
      </c>
      <c r="C37" s="10">
        <v>121</v>
      </c>
      <c r="D37" s="10">
        <v>30</v>
      </c>
      <c r="E37" s="10">
        <v>8</v>
      </c>
      <c r="F37" s="10">
        <v>7</v>
      </c>
      <c r="G37" s="10">
        <v>5</v>
      </c>
      <c r="H37" s="10">
        <v>9</v>
      </c>
      <c r="I37" s="10">
        <v>5</v>
      </c>
      <c r="J37" s="10">
        <v>3</v>
      </c>
      <c r="K37" s="10">
        <v>5</v>
      </c>
      <c r="L37" s="10">
        <v>4</v>
      </c>
      <c r="M37" s="10">
        <v>3</v>
      </c>
      <c r="N37" s="10">
        <v>7</v>
      </c>
      <c r="O37" s="10">
        <v>5</v>
      </c>
      <c r="P37" s="10">
        <v>9</v>
      </c>
      <c r="Q37" s="10">
        <v>4</v>
      </c>
      <c r="R37" s="10">
        <v>13</v>
      </c>
      <c r="S37" s="10">
        <v>16</v>
      </c>
      <c r="T37" s="10">
        <v>29</v>
      </c>
      <c r="U37" s="10">
        <v>40</v>
      </c>
      <c r="V37" s="10">
        <v>43</v>
      </c>
      <c r="W37" s="10">
        <v>35</v>
      </c>
      <c r="X37" s="10">
        <v>40</v>
      </c>
      <c r="Y37" s="10">
        <v>39</v>
      </c>
      <c r="Z37" s="10">
        <v>37</v>
      </c>
      <c r="AA37" s="10">
        <v>26</v>
      </c>
      <c r="AB37" s="10">
        <v>32</v>
      </c>
      <c r="AC37" s="10">
        <v>23</v>
      </c>
      <c r="AD37" s="10">
        <v>38</v>
      </c>
      <c r="AE37" s="10">
        <v>30</v>
      </c>
      <c r="AF37" s="10">
        <v>44</v>
      </c>
      <c r="AG37" s="10">
        <v>37</v>
      </c>
      <c r="AH37" s="10">
        <v>37</v>
      </c>
      <c r="AI37" s="10">
        <v>52</v>
      </c>
      <c r="AJ37" s="10">
        <v>51</v>
      </c>
      <c r="AK37" s="10">
        <v>46</v>
      </c>
      <c r="AL37" s="10">
        <v>40</v>
      </c>
      <c r="AM37" s="10">
        <v>58</v>
      </c>
      <c r="AN37" s="10">
        <v>50</v>
      </c>
      <c r="AO37" s="10">
        <v>50</v>
      </c>
      <c r="AP37" s="10">
        <v>57</v>
      </c>
      <c r="AQ37" s="10">
        <v>62</v>
      </c>
      <c r="AR37" s="10">
        <v>85</v>
      </c>
      <c r="AS37" s="10">
        <v>65</v>
      </c>
      <c r="AT37" s="10">
        <v>70</v>
      </c>
      <c r="AU37" s="10">
        <v>95</v>
      </c>
      <c r="AV37" s="10">
        <v>94</v>
      </c>
      <c r="AW37" s="10">
        <v>117</v>
      </c>
      <c r="AX37" s="10">
        <v>121</v>
      </c>
      <c r="AY37" s="10">
        <v>123</v>
      </c>
      <c r="AZ37" s="10">
        <v>149</v>
      </c>
      <c r="BA37" s="10">
        <v>154</v>
      </c>
      <c r="BB37" s="10">
        <v>153</v>
      </c>
      <c r="BC37" s="10">
        <v>163</v>
      </c>
      <c r="BD37" s="10">
        <v>194</v>
      </c>
      <c r="BE37" s="10">
        <v>204</v>
      </c>
      <c r="BF37" s="10">
        <v>250</v>
      </c>
      <c r="BG37" s="10">
        <v>256</v>
      </c>
      <c r="BH37" s="10">
        <v>282</v>
      </c>
      <c r="BI37" s="10">
        <v>274</v>
      </c>
      <c r="BJ37" s="10">
        <v>327</v>
      </c>
      <c r="BK37" s="10">
        <v>325</v>
      </c>
      <c r="BL37" s="10">
        <v>375</v>
      </c>
      <c r="BM37" s="10">
        <v>401</v>
      </c>
      <c r="BN37" s="10">
        <v>467</v>
      </c>
      <c r="BO37" s="10">
        <v>435</v>
      </c>
      <c r="BP37" s="10">
        <v>595</v>
      </c>
      <c r="BQ37" s="10">
        <v>531</v>
      </c>
      <c r="BR37" s="10">
        <v>609</v>
      </c>
      <c r="BS37" s="10">
        <v>556</v>
      </c>
      <c r="BT37" s="10">
        <v>556</v>
      </c>
      <c r="BU37" s="10">
        <v>505</v>
      </c>
      <c r="BV37" s="10">
        <v>578</v>
      </c>
      <c r="BW37" s="10">
        <v>627</v>
      </c>
      <c r="BX37" s="10">
        <v>664</v>
      </c>
      <c r="BY37" s="10">
        <v>727</v>
      </c>
      <c r="BZ37" s="10">
        <v>721</v>
      </c>
      <c r="CA37" s="10">
        <v>748</v>
      </c>
      <c r="CB37" s="10">
        <v>838</v>
      </c>
      <c r="CC37" s="10">
        <v>911</v>
      </c>
      <c r="CD37" s="10">
        <v>1050</v>
      </c>
      <c r="CE37" s="10">
        <v>1139</v>
      </c>
      <c r="CF37" s="10">
        <v>1296</v>
      </c>
      <c r="CG37" s="10">
        <v>1250</v>
      </c>
      <c r="CH37" s="10">
        <v>1386</v>
      </c>
      <c r="CI37" s="10">
        <v>1488</v>
      </c>
      <c r="CJ37" s="10">
        <v>1595</v>
      </c>
      <c r="CK37" s="10">
        <v>1681</v>
      </c>
      <c r="CL37" s="10">
        <v>1749</v>
      </c>
      <c r="CM37" s="10">
        <v>1733</v>
      </c>
      <c r="CN37" s="10">
        <v>1711</v>
      </c>
      <c r="CO37" s="10">
        <v>1619</v>
      </c>
      <c r="CP37" s="10">
        <v>1730</v>
      </c>
      <c r="CQ37" s="10">
        <v>1288</v>
      </c>
      <c r="CR37" s="10">
        <v>1170</v>
      </c>
      <c r="CS37" s="10">
        <v>1003</v>
      </c>
      <c r="CT37" s="10">
        <v>775</v>
      </c>
      <c r="CU37" s="10">
        <v>652</v>
      </c>
      <c r="CV37" s="10">
        <v>482</v>
      </c>
      <c r="CW37" s="10">
        <v>334</v>
      </c>
      <c r="CX37" s="10">
        <v>237</v>
      </c>
      <c r="CY37" s="10">
        <v>173</v>
      </c>
      <c r="CZ37" s="10">
        <v>107</v>
      </c>
    </row>
    <row r="38" spans="1:104" x14ac:dyDescent="0.3">
      <c r="A38" s="10">
        <v>2012</v>
      </c>
      <c r="C38" s="10">
        <v>130</v>
      </c>
      <c r="D38" s="10">
        <v>28</v>
      </c>
      <c r="E38" s="10">
        <v>12</v>
      </c>
      <c r="F38" s="10">
        <v>11</v>
      </c>
      <c r="G38" s="10">
        <v>2</v>
      </c>
      <c r="H38" s="10">
        <v>5</v>
      </c>
      <c r="I38" s="10">
        <v>5</v>
      </c>
      <c r="J38" s="10">
        <v>4</v>
      </c>
      <c r="K38" s="10">
        <v>3</v>
      </c>
      <c r="L38" s="10">
        <v>7</v>
      </c>
      <c r="M38" s="10">
        <v>6</v>
      </c>
      <c r="N38" s="10">
        <v>11</v>
      </c>
      <c r="O38" s="10">
        <v>2</v>
      </c>
      <c r="P38" s="10">
        <v>3</v>
      </c>
      <c r="Q38" s="10">
        <v>11</v>
      </c>
      <c r="R38" s="10">
        <v>12</v>
      </c>
      <c r="S38" s="10">
        <v>10</v>
      </c>
      <c r="T38" s="10">
        <v>17</v>
      </c>
      <c r="U38" s="10">
        <v>15</v>
      </c>
      <c r="V38" s="10">
        <v>22</v>
      </c>
      <c r="W38" s="10">
        <v>23</v>
      </c>
      <c r="X38" s="10">
        <v>28</v>
      </c>
      <c r="Y38" s="10">
        <v>34</v>
      </c>
      <c r="Z38" s="10">
        <v>22</v>
      </c>
      <c r="AA38" s="10">
        <v>25</v>
      </c>
      <c r="AB38" s="10">
        <v>27</v>
      </c>
      <c r="AC38" s="10">
        <v>34</v>
      </c>
      <c r="AD38" s="10">
        <v>34</v>
      </c>
      <c r="AE38" s="10">
        <v>27</v>
      </c>
      <c r="AF38" s="10">
        <v>26</v>
      </c>
      <c r="AG38" s="10">
        <v>31</v>
      </c>
      <c r="AH38" s="10">
        <v>47</v>
      </c>
      <c r="AI38" s="10">
        <v>38</v>
      </c>
      <c r="AJ38" s="10">
        <v>35</v>
      </c>
      <c r="AK38" s="10">
        <v>31</v>
      </c>
      <c r="AL38" s="10">
        <v>39</v>
      </c>
      <c r="AM38" s="10">
        <v>39</v>
      </c>
      <c r="AN38" s="10">
        <v>52</v>
      </c>
      <c r="AO38" s="10">
        <v>63</v>
      </c>
      <c r="AP38" s="10">
        <v>62</v>
      </c>
      <c r="AQ38" s="10">
        <v>51</v>
      </c>
      <c r="AR38" s="10">
        <v>74</v>
      </c>
      <c r="AS38" s="10">
        <v>77</v>
      </c>
      <c r="AT38" s="10">
        <v>80</v>
      </c>
      <c r="AU38" s="10">
        <v>84</v>
      </c>
      <c r="AV38" s="10">
        <v>94</v>
      </c>
      <c r="AW38" s="10">
        <v>101</v>
      </c>
      <c r="AX38" s="10">
        <v>130</v>
      </c>
      <c r="AY38" s="10">
        <v>116</v>
      </c>
      <c r="AZ38" s="10">
        <v>112</v>
      </c>
      <c r="BA38" s="10">
        <v>143</v>
      </c>
      <c r="BB38" s="10">
        <v>155</v>
      </c>
      <c r="BC38" s="10">
        <v>165</v>
      </c>
      <c r="BD38" s="10">
        <v>198</v>
      </c>
      <c r="BE38" s="10">
        <v>208</v>
      </c>
      <c r="BF38" s="10">
        <v>227</v>
      </c>
      <c r="BG38" s="10">
        <v>242</v>
      </c>
      <c r="BH38" s="10">
        <v>274</v>
      </c>
      <c r="BI38" s="10">
        <v>250</v>
      </c>
      <c r="BJ38" s="10">
        <v>316</v>
      </c>
      <c r="BK38" s="10">
        <v>349</v>
      </c>
      <c r="BL38" s="10">
        <v>373</v>
      </c>
      <c r="BM38" s="10">
        <v>425</v>
      </c>
      <c r="BN38" s="10">
        <v>409</v>
      </c>
      <c r="BO38" s="10">
        <v>482</v>
      </c>
      <c r="BP38" s="10">
        <v>518</v>
      </c>
      <c r="BQ38" s="10">
        <v>595</v>
      </c>
      <c r="BR38" s="10">
        <v>653</v>
      </c>
      <c r="BS38" s="10">
        <v>620</v>
      </c>
      <c r="BT38" s="10">
        <v>625</v>
      </c>
      <c r="BU38" s="10">
        <v>563</v>
      </c>
      <c r="BV38" s="10">
        <v>562</v>
      </c>
      <c r="BW38" s="10">
        <v>721</v>
      </c>
      <c r="BX38" s="10">
        <v>686</v>
      </c>
      <c r="BY38" s="10">
        <v>714</v>
      </c>
      <c r="BZ38" s="10">
        <v>723</v>
      </c>
      <c r="CA38" s="10">
        <v>774</v>
      </c>
      <c r="CB38" s="10">
        <v>771</v>
      </c>
      <c r="CC38" s="10">
        <v>893</v>
      </c>
      <c r="CD38" s="10">
        <v>1032</v>
      </c>
      <c r="CE38" s="10">
        <v>1112</v>
      </c>
      <c r="CF38" s="10">
        <v>1179</v>
      </c>
      <c r="CG38" s="10">
        <v>1353</v>
      </c>
      <c r="CH38" s="10">
        <v>1484</v>
      </c>
      <c r="CI38" s="10">
        <v>1535</v>
      </c>
      <c r="CJ38" s="10">
        <v>1515</v>
      </c>
      <c r="CK38" s="10">
        <v>1624</v>
      </c>
      <c r="CL38" s="10">
        <v>1663</v>
      </c>
      <c r="CM38" s="10">
        <v>1738</v>
      </c>
      <c r="CN38" s="10">
        <v>1670</v>
      </c>
      <c r="CO38" s="10">
        <v>1807</v>
      </c>
      <c r="CP38" s="10">
        <v>1575</v>
      </c>
      <c r="CQ38" s="10">
        <v>1590</v>
      </c>
      <c r="CR38" s="10">
        <v>1179</v>
      </c>
      <c r="CS38" s="10">
        <v>1099</v>
      </c>
      <c r="CT38" s="10">
        <v>858</v>
      </c>
      <c r="CU38" s="10">
        <v>690</v>
      </c>
      <c r="CV38" s="10">
        <v>524</v>
      </c>
      <c r="CW38" s="10">
        <v>395</v>
      </c>
      <c r="CX38" s="10">
        <v>288</v>
      </c>
      <c r="CY38" s="10">
        <v>191</v>
      </c>
      <c r="CZ38" s="10">
        <v>131</v>
      </c>
    </row>
    <row r="39" spans="1:104" x14ac:dyDescent="0.3">
      <c r="A39" s="10">
        <v>2013</v>
      </c>
      <c r="C39" s="10">
        <v>132</v>
      </c>
      <c r="D39" s="10">
        <v>26</v>
      </c>
      <c r="E39" s="10">
        <v>5</v>
      </c>
      <c r="F39" s="10">
        <v>8</v>
      </c>
      <c r="G39" s="10">
        <v>3</v>
      </c>
      <c r="H39" s="10">
        <v>5</v>
      </c>
      <c r="I39" s="10">
        <v>6</v>
      </c>
      <c r="J39" s="10">
        <v>4</v>
      </c>
      <c r="K39" s="10">
        <v>3</v>
      </c>
      <c r="L39" s="10">
        <v>3</v>
      </c>
      <c r="M39" s="10">
        <v>4</v>
      </c>
      <c r="N39" s="10">
        <v>4</v>
      </c>
      <c r="O39" s="10">
        <v>4</v>
      </c>
      <c r="P39" s="10">
        <v>3</v>
      </c>
      <c r="Q39" s="10">
        <v>3</v>
      </c>
      <c r="R39" s="10">
        <v>3</v>
      </c>
      <c r="S39" s="10">
        <v>7</v>
      </c>
      <c r="T39" s="10">
        <v>17</v>
      </c>
      <c r="U39" s="10">
        <v>24</v>
      </c>
      <c r="V39" s="10">
        <v>25</v>
      </c>
      <c r="W39" s="10">
        <v>30</v>
      </c>
      <c r="X39" s="10">
        <v>28</v>
      </c>
      <c r="Y39" s="10">
        <v>23</v>
      </c>
      <c r="Z39" s="10">
        <v>29</v>
      </c>
      <c r="AA39" s="10">
        <v>30</v>
      </c>
      <c r="AB39" s="10">
        <v>29</v>
      </c>
      <c r="AC39" s="10">
        <v>36</v>
      </c>
      <c r="AD39" s="10">
        <v>31</v>
      </c>
      <c r="AE39" s="10">
        <v>29</v>
      </c>
      <c r="AF39" s="10">
        <v>37</v>
      </c>
      <c r="AG39" s="10">
        <v>32</v>
      </c>
      <c r="AH39" s="10">
        <v>30</v>
      </c>
      <c r="AI39" s="10">
        <v>38</v>
      </c>
      <c r="AJ39" s="10">
        <v>35</v>
      </c>
      <c r="AK39" s="10">
        <v>41</v>
      </c>
      <c r="AL39" s="10">
        <v>48</v>
      </c>
      <c r="AM39" s="10">
        <v>55</v>
      </c>
      <c r="AN39" s="10">
        <v>53</v>
      </c>
      <c r="AO39" s="10">
        <v>43</v>
      </c>
      <c r="AP39" s="10">
        <v>51</v>
      </c>
      <c r="AQ39" s="10">
        <v>67</v>
      </c>
      <c r="AR39" s="10">
        <v>83</v>
      </c>
      <c r="AS39" s="10">
        <v>76</v>
      </c>
      <c r="AT39" s="10">
        <v>83</v>
      </c>
      <c r="AU39" s="10">
        <v>88</v>
      </c>
      <c r="AV39" s="10">
        <v>93</v>
      </c>
      <c r="AW39" s="10">
        <v>101</v>
      </c>
      <c r="AX39" s="10">
        <v>96</v>
      </c>
      <c r="AY39" s="10">
        <v>124</v>
      </c>
      <c r="AZ39" s="10">
        <v>145</v>
      </c>
      <c r="BA39" s="10">
        <v>140</v>
      </c>
      <c r="BB39" s="10">
        <v>150</v>
      </c>
      <c r="BC39" s="10">
        <v>185</v>
      </c>
      <c r="BD39" s="10">
        <v>175</v>
      </c>
      <c r="BE39" s="10">
        <v>201</v>
      </c>
      <c r="BF39" s="10">
        <v>237</v>
      </c>
      <c r="BG39" s="10">
        <v>261</v>
      </c>
      <c r="BH39" s="10">
        <v>247</v>
      </c>
      <c r="BI39" s="10">
        <v>306</v>
      </c>
      <c r="BJ39" s="10">
        <v>322</v>
      </c>
      <c r="BK39" s="10">
        <v>361</v>
      </c>
      <c r="BL39" s="10">
        <v>349</v>
      </c>
      <c r="BM39" s="10">
        <v>375</v>
      </c>
      <c r="BN39" s="10">
        <v>448</v>
      </c>
      <c r="BO39" s="10">
        <v>451</v>
      </c>
      <c r="BP39" s="10">
        <v>509</v>
      </c>
      <c r="BQ39" s="10">
        <v>559</v>
      </c>
      <c r="BR39" s="10">
        <v>687</v>
      </c>
      <c r="BS39" s="10">
        <v>652</v>
      </c>
      <c r="BT39" s="10">
        <v>688</v>
      </c>
      <c r="BU39" s="10">
        <v>631</v>
      </c>
      <c r="BV39" s="10">
        <v>595</v>
      </c>
      <c r="BW39" s="10">
        <v>615</v>
      </c>
      <c r="BX39" s="10">
        <v>669</v>
      </c>
      <c r="BY39" s="10">
        <v>759</v>
      </c>
      <c r="BZ39" s="10">
        <v>767</v>
      </c>
      <c r="CA39" s="10">
        <v>782</v>
      </c>
      <c r="CB39" s="10">
        <v>872</v>
      </c>
      <c r="CC39" s="10">
        <v>874</v>
      </c>
      <c r="CD39" s="10">
        <v>972</v>
      </c>
      <c r="CE39" s="10">
        <v>1030</v>
      </c>
      <c r="CF39" s="10">
        <v>1214</v>
      </c>
      <c r="CG39" s="10">
        <v>1305</v>
      </c>
      <c r="CH39" s="10">
        <v>1316</v>
      </c>
      <c r="CI39" s="10">
        <v>1399</v>
      </c>
      <c r="CJ39" s="10">
        <v>1564</v>
      </c>
      <c r="CK39" s="10">
        <v>1558</v>
      </c>
      <c r="CL39" s="10">
        <v>1660</v>
      </c>
      <c r="CM39" s="10">
        <v>1616</v>
      </c>
      <c r="CN39" s="10">
        <v>1630</v>
      </c>
      <c r="CO39" s="10">
        <v>1682</v>
      </c>
      <c r="CP39" s="10">
        <v>1518</v>
      </c>
      <c r="CQ39" s="10">
        <v>1409</v>
      </c>
      <c r="CR39" s="10">
        <v>1342</v>
      </c>
      <c r="CS39" s="10">
        <v>969</v>
      </c>
      <c r="CT39" s="10">
        <v>901</v>
      </c>
      <c r="CU39" s="10">
        <v>712</v>
      </c>
      <c r="CV39" s="10">
        <v>510</v>
      </c>
      <c r="CW39" s="10">
        <v>393</v>
      </c>
      <c r="CX39" s="10">
        <v>246</v>
      </c>
      <c r="CY39" s="10">
        <v>186</v>
      </c>
      <c r="CZ39" s="10">
        <v>132</v>
      </c>
    </row>
    <row r="40" spans="1:104" x14ac:dyDescent="0.3">
      <c r="A40" s="10">
        <v>2014</v>
      </c>
      <c r="C40" s="10">
        <v>130</v>
      </c>
      <c r="D40" s="10">
        <v>18</v>
      </c>
      <c r="E40" s="10">
        <v>10</v>
      </c>
      <c r="F40" s="10">
        <v>6</v>
      </c>
      <c r="G40" s="10">
        <v>6</v>
      </c>
      <c r="H40" s="10">
        <v>7</v>
      </c>
      <c r="I40" s="10">
        <v>6</v>
      </c>
      <c r="J40" s="10">
        <v>5</v>
      </c>
      <c r="K40" s="10">
        <v>6</v>
      </c>
      <c r="L40" s="10">
        <v>2</v>
      </c>
      <c r="M40" s="10">
        <v>3</v>
      </c>
      <c r="N40" s="10">
        <v>4</v>
      </c>
      <c r="O40" s="10">
        <v>4</v>
      </c>
      <c r="P40" s="10">
        <v>3</v>
      </c>
      <c r="Q40" s="10">
        <v>7</v>
      </c>
      <c r="R40" s="10">
        <v>5</v>
      </c>
      <c r="S40" s="10">
        <v>9</v>
      </c>
      <c r="T40" s="10">
        <v>17</v>
      </c>
      <c r="U40" s="10">
        <v>12</v>
      </c>
      <c r="V40" s="10">
        <v>16</v>
      </c>
      <c r="W40" s="10">
        <v>17</v>
      </c>
      <c r="X40" s="10">
        <v>24</v>
      </c>
      <c r="Y40" s="10">
        <v>26</v>
      </c>
      <c r="Z40" s="10">
        <v>38</v>
      </c>
      <c r="AA40" s="10">
        <v>29</v>
      </c>
      <c r="AB40" s="10">
        <v>34</v>
      </c>
      <c r="AC40" s="10">
        <v>20</v>
      </c>
      <c r="AD40" s="10">
        <v>37</v>
      </c>
      <c r="AE40" s="10">
        <v>33</v>
      </c>
      <c r="AF40" s="10">
        <v>28</v>
      </c>
      <c r="AG40" s="10">
        <v>38</v>
      </c>
      <c r="AH40" s="10">
        <v>33</v>
      </c>
      <c r="AI40" s="10">
        <v>53</v>
      </c>
      <c r="AJ40" s="10">
        <v>32</v>
      </c>
      <c r="AK40" s="10">
        <v>32</v>
      </c>
      <c r="AL40" s="10">
        <v>50</v>
      </c>
      <c r="AM40" s="10">
        <v>40</v>
      </c>
      <c r="AN40" s="10">
        <v>43</v>
      </c>
      <c r="AO40" s="10">
        <v>58</v>
      </c>
      <c r="AP40" s="10">
        <v>53</v>
      </c>
      <c r="AQ40" s="10">
        <v>57</v>
      </c>
      <c r="AR40" s="10">
        <v>65</v>
      </c>
      <c r="AS40" s="10">
        <v>55</v>
      </c>
      <c r="AT40" s="10">
        <v>76</v>
      </c>
      <c r="AU40" s="10">
        <v>76</v>
      </c>
      <c r="AV40" s="10">
        <v>102</v>
      </c>
      <c r="AW40" s="10">
        <v>107</v>
      </c>
      <c r="AX40" s="10">
        <v>92</v>
      </c>
      <c r="AY40" s="10">
        <v>121</v>
      </c>
      <c r="AZ40" s="10">
        <v>133</v>
      </c>
      <c r="BA40" s="10">
        <v>154</v>
      </c>
      <c r="BB40" s="10">
        <v>149</v>
      </c>
      <c r="BC40" s="10">
        <v>166</v>
      </c>
      <c r="BD40" s="10">
        <v>199</v>
      </c>
      <c r="BE40" s="10">
        <v>201</v>
      </c>
      <c r="BF40" s="10">
        <v>238</v>
      </c>
      <c r="BG40" s="10">
        <v>229</v>
      </c>
      <c r="BH40" s="10">
        <v>283</v>
      </c>
      <c r="BI40" s="10">
        <v>256</v>
      </c>
      <c r="BJ40" s="10">
        <v>267</v>
      </c>
      <c r="BK40" s="10">
        <v>310</v>
      </c>
      <c r="BL40" s="10">
        <v>361</v>
      </c>
      <c r="BM40" s="10">
        <v>359</v>
      </c>
      <c r="BN40" s="10">
        <v>405</v>
      </c>
      <c r="BO40" s="10">
        <v>423</v>
      </c>
      <c r="BP40" s="10">
        <v>459</v>
      </c>
      <c r="BQ40" s="10">
        <v>575</v>
      </c>
      <c r="BR40" s="10">
        <v>583</v>
      </c>
      <c r="BS40" s="10">
        <v>691</v>
      </c>
      <c r="BT40" s="10">
        <v>669</v>
      </c>
      <c r="BU40" s="10">
        <v>684</v>
      </c>
      <c r="BV40" s="10">
        <v>655</v>
      </c>
      <c r="BW40" s="10">
        <v>657</v>
      </c>
      <c r="BX40" s="10">
        <v>633</v>
      </c>
      <c r="BY40" s="10">
        <v>736</v>
      </c>
      <c r="BZ40" s="10">
        <v>741</v>
      </c>
      <c r="CA40" s="10">
        <v>835</v>
      </c>
      <c r="CB40" s="10">
        <v>836</v>
      </c>
      <c r="CC40" s="10">
        <v>883</v>
      </c>
      <c r="CD40" s="10">
        <v>879</v>
      </c>
      <c r="CE40" s="10">
        <v>989</v>
      </c>
      <c r="CF40" s="10">
        <v>1102</v>
      </c>
      <c r="CG40" s="10">
        <v>1218</v>
      </c>
      <c r="CH40" s="10">
        <v>1319</v>
      </c>
      <c r="CI40" s="10">
        <v>1382</v>
      </c>
      <c r="CJ40" s="10">
        <v>1477</v>
      </c>
      <c r="CK40" s="10">
        <v>1507</v>
      </c>
      <c r="CL40" s="10">
        <v>1461</v>
      </c>
      <c r="CM40" s="10">
        <v>1621</v>
      </c>
      <c r="CN40" s="10">
        <v>1538</v>
      </c>
      <c r="CO40" s="10">
        <v>1587</v>
      </c>
      <c r="CP40" s="10">
        <v>1637</v>
      </c>
      <c r="CQ40" s="10">
        <v>1426</v>
      </c>
      <c r="CR40" s="10">
        <v>1295</v>
      </c>
      <c r="CS40" s="10">
        <v>1195</v>
      </c>
      <c r="CT40" s="10">
        <v>834</v>
      </c>
      <c r="CU40" s="10">
        <v>693</v>
      </c>
      <c r="CV40" s="10">
        <v>533</v>
      </c>
      <c r="CW40" s="10">
        <v>399</v>
      </c>
      <c r="CX40" s="10">
        <v>273</v>
      </c>
      <c r="CY40" s="10">
        <v>195</v>
      </c>
      <c r="CZ40" s="10">
        <v>124</v>
      </c>
    </row>
    <row r="41" spans="1:104" x14ac:dyDescent="0.3">
      <c r="A41" s="10">
        <v>2015</v>
      </c>
      <c r="C41" s="10">
        <v>120</v>
      </c>
      <c r="D41" s="10">
        <v>26</v>
      </c>
      <c r="E41" s="10">
        <v>12</v>
      </c>
      <c r="F41" s="10">
        <v>4</v>
      </c>
      <c r="G41" s="10">
        <v>6</v>
      </c>
      <c r="H41" s="10">
        <v>4</v>
      </c>
      <c r="I41" s="10">
        <v>5</v>
      </c>
      <c r="J41" s="10">
        <v>2</v>
      </c>
      <c r="K41" s="10">
        <v>2</v>
      </c>
      <c r="L41" s="10">
        <v>0</v>
      </c>
      <c r="M41" s="10">
        <v>2</v>
      </c>
      <c r="N41" s="10">
        <v>5</v>
      </c>
      <c r="O41" s="10">
        <v>2</v>
      </c>
      <c r="P41" s="10">
        <v>8</v>
      </c>
      <c r="Q41" s="10">
        <v>3</v>
      </c>
      <c r="R41" s="10">
        <v>9</v>
      </c>
      <c r="S41" s="10">
        <v>5</v>
      </c>
      <c r="T41" s="10">
        <v>6</v>
      </c>
      <c r="U41" s="10">
        <v>17</v>
      </c>
      <c r="V41" s="10">
        <v>24</v>
      </c>
      <c r="W41" s="10">
        <v>23</v>
      </c>
      <c r="X41" s="10">
        <v>17</v>
      </c>
      <c r="Y41" s="10">
        <v>28</v>
      </c>
      <c r="Z41" s="10">
        <v>29</v>
      </c>
      <c r="AA41" s="10">
        <v>33</v>
      </c>
      <c r="AB41" s="10">
        <v>27</v>
      </c>
      <c r="AC41" s="10">
        <v>31</v>
      </c>
      <c r="AD41" s="10">
        <v>40</v>
      </c>
      <c r="AE41" s="10">
        <v>37</v>
      </c>
      <c r="AF41" s="10">
        <v>31</v>
      </c>
      <c r="AG41" s="10">
        <v>31</v>
      </c>
      <c r="AH41" s="10">
        <v>33</v>
      </c>
      <c r="AI41" s="10">
        <v>32</v>
      </c>
      <c r="AJ41" s="10">
        <v>44</v>
      </c>
      <c r="AK41" s="10">
        <v>43</v>
      </c>
      <c r="AL41" s="10">
        <v>33</v>
      </c>
      <c r="AM41" s="10">
        <v>43</v>
      </c>
      <c r="AN41" s="10">
        <v>44</v>
      </c>
      <c r="AO41" s="10">
        <v>32</v>
      </c>
      <c r="AP41" s="10">
        <v>38</v>
      </c>
      <c r="AQ41" s="10">
        <v>55</v>
      </c>
      <c r="AR41" s="10">
        <v>68</v>
      </c>
      <c r="AS41" s="10">
        <v>69</v>
      </c>
      <c r="AT41" s="10">
        <v>65</v>
      </c>
      <c r="AU41" s="10">
        <v>74</v>
      </c>
      <c r="AV41" s="10">
        <v>83</v>
      </c>
      <c r="AW41" s="10">
        <v>109</v>
      </c>
      <c r="AX41" s="10">
        <v>102</v>
      </c>
      <c r="AY41" s="10">
        <v>107</v>
      </c>
      <c r="AZ41" s="10">
        <v>125</v>
      </c>
      <c r="BA41" s="10">
        <v>130</v>
      </c>
      <c r="BB41" s="10">
        <v>158</v>
      </c>
      <c r="BC41" s="10">
        <v>138</v>
      </c>
      <c r="BD41" s="10">
        <v>185</v>
      </c>
      <c r="BE41" s="10">
        <v>191</v>
      </c>
      <c r="BF41" s="10">
        <v>217</v>
      </c>
      <c r="BG41" s="10">
        <v>254</v>
      </c>
      <c r="BH41" s="10">
        <v>218</v>
      </c>
      <c r="BI41" s="10">
        <v>267</v>
      </c>
      <c r="BJ41" s="10">
        <v>279</v>
      </c>
      <c r="BK41" s="10">
        <v>338</v>
      </c>
      <c r="BL41" s="10">
        <v>316</v>
      </c>
      <c r="BM41" s="10">
        <v>415</v>
      </c>
      <c r="BN41" s="10">
        <v>378</v>
      </c>
      <c r="BO41" s="10">
        <v>408</v>
      </c>
      <c r="BP41" s="10">
        <v>430</v>
      </c>
      <c r="BQ41" s="10">
        <v>482</v>
      </c>
      <c r="BR41" s="10">
        <v>541</v>
      </c>
      <c r="BS41" s="10">
        <v>622</v>
      </c>
      <c r="BT41" s="10">
        <v>754</v>
      </c>
      <c r="BU41" s="10">
        <v>700</v>
      </c>
      <c r="BV41" s="10">
        <v>762</v>
      </c>
      <c r="BW41" s="10">
        <v>716</v>
      </c>
      <c r="BX41" s="10">
        <v>687</v>
      </c>
      <c r="BY41" s="10">
        <v>688</v>
      </c>
      <c r="BZ41" s="10">
        <v>774</v>
      </c>
      <c r="CA41" s="10">
        <v>837</v>
      </c>
      <c r="CB41" s="10">
        <v>872</v>
      </c>
      <c r="CC41" s="10">
        <v>893</v>
      </c>
      <c r="CD41" s="10">
        <v>931</v>
      </c>
      <c r="CE41" s="10">
        <v>1002</v>
      </c>
      <c r="CF41" s="10">
        <v>1068</v>
      </c>
      <c r="CG41" s="10">
        <v>1137</v>
      </c>
      <c r="CH41" s="10">
        <v>1367</v>
      </c>
      <c r="CI41" s="10">
        <v>1352</v>
      </c>
      <c r="CJ41" s="10">
        <v>1461</v>
      </c>
      <c r="CK41" s="10">
        <v>1472</v>
      </c>
      <c r="CL41" s="10">
        <v>1561</v>
      </c>
      <c r="CM41" s="10">
        <v>1516</v>
      </c>
      <c r="CN41" s="10">
        <v>1596</v>
      </c>
      <c r="CO41" s="10">
        <v>1605</v>
      </c>
      <c r="CP41" s="10">
        <v>1620</v>
      </c>
      <c r="CQ41" s="10">
        <v>1492</v>
      </c>
      <c r="CR41" s="10">
        <v>1340</v>
      </c>
      <c r="CS41" s="10">
        <v>1192</v>
      </c>
      <c r="CT41" s="10">
        <v>1031</v>
      </c>
      <c r="CU41" s="10">
        <v>685</v>
      </c>
      <c r="CV41" s="10">
        <v>607</v>
      </c>
      <c r="CW41" s="10">
        <v>460</v>
      </c>
      <c r="CX41" s="10">
        <v>267</v>
      </c>
      <c r="CY41" s="10">
        <v>196</v>
      </c>
      <c r="CZ41" s="10">
        <v>140</v>
      </c>
    </row>
    <row r="42" spans="1:104" x14ac:dyDescent="0.3">
      <c r="A42" s="10">
        <v>2016</v>
      </c>
      <c r="C42" s="10">
        <v>115</v>
      </c>
      <c r="D42" s="10">
        <v>18</v>
      </c>
      <c r="E42" s="10">
        <v>10</v>
      </c>
      <c r="F42" s="10">
        <v>5</v>
      </c>
      <c r="G42" s="10">
        <v>3</v>
      </c>
      <c r="H42" s="10">
        <v>4</v>
      </c>
      <c r="I42" s="10">
        <v>1</v>
      </c>
      <c r="J42" s="10">
        <v>7</v>
      </c>
      <c r="K42" s="10">
        <v>1</v>
      </c>
      <c r="L42" s="10">
        <v>0</v>
      </c>
      <c r="M42" s="10">
        <v>3</v>
      </c>
      <c r="N42" s="10">
        <v>3</v>
      </c>
      <c r="O42" s="10">
        <v>5</v>
      </c>
      <c r="P42" s="10">
        <v>4</v>
      </c>
      <c r="Q42" s="10">
        <v>13</v>
      </c>
      <c r="R42" s="10">
        <v>8</v>
      </c>
      <c r="S42" s="10">
        <v>15</v>
      </c>
      <c r="T42" s="10">
        <v>10</v>
      </c>
      <c r="U42" s="10">
        <v>23</v>
      </c>
      <c r="V42" s="10">
        <v>22</v>
      </c>
      <c r="W42" s="10">
        <v>24</v>
      </c>
      <c r="X42" s="10">
        <v>23</v>
      </c>
      <c r="Y42" s="10">
        <v>19</v>
      </c>
      <c r="Z42" s="10">
        <v>29</v>
      </c>
      <c r="AA42" s="10">
        <v>23</v>
      </c>
      <c r="AB42" s="10">
        <v>20</v>
      </c>
      <c r="AC42" s="10">
        <v>39</v>
      </c>
      <c r="AD42" s="10">
        <v>38</v>
      </c>
      <c r="AE42" s="10">
        <v>26</v>
      </c>
      <c r="AF42" s="10">
        <v>28</v>
      </c>
      <c r="AG42" s="10">
        <v>40</v>
      </c>
      <c r="AH42" s="10">
        <v>33</v>
      </c>
      <c r="AI42" s="10">
        <v>40</v>
      </c>
      <c r="AJ42" s="10">
        <v>52</v>
      </c>
      <c r="AK42" s="10">
        <v>43</v>
      </c>
      <c r="AL42" s="10">
        <v>45</v>
      </c>
      <c r="AM42" s="10">
        <v>50</v>
      </c>
      <c r="AN42" s="10">
        <v>42</v>
      </c>
      <c r="AO42" s="10">
        <v>41</v>
      </c>
      <c r="AP42" s="10">
        <v>55</v>
      </c>
      <c r="AQ42" s="10">
        <v>31</v>
      </c>
      <c r="AR42" s="10">
        <v>60</v>
      </c>
      <c r="AS42" s="10">
        <v>64</v>
      </c>
      <c r="AT42" s="10">
        <v>81</v>
      </c>
      <c r="AU42" s="10">
        <v>68</v>
      </c>
      <c r="AV42" s="10">
        <v>92</v>
      </c>
      <c r="AW42" s="10">
        <v>96</v>
      </c>
      <c r="AX42" s="10">
        <v>104</v>
      </c>
      <c r="AY42" s="10">
        <v>122</v>
      </c>
      <c r="AZ42" s="10">
        <v>115</v>
      </c>
      <c r="BA42" s="10">
        <v>120</v>
      </c>
      <c r="BB42" s="10">
        <v>152</v>
      </c>
      <c r="BC42" s="10">
        <v>169</v>
      </c>
      <c r="BD42" s="10">
        <v>179</v>
      </c>
      <c r="BE42" s="10">
        <v>197</v>
      </c>
      <c r="BF42" s="10">
        <v>204</v>
      </c>
      <c r="BG42" s="10">
        <v>215</v>
      </c>
      <c r="BH42" s="10">
        <v>234</v>
      </c>
      <c r="BI42" s="10">
        <v>277</v>
      </c>
      <c r="BJ42" s="10">
        <v>308</v>
      </c>
      <c r="BK42" s="10">
        <v>301</v>
      </c>
      <c r="BL42" s="10">
        <v>355</v>
      </c>
      <c r="BM42" s="10">
        <v>378</v>
      </c>
      <c r="BN42" s="10">
        <v>406</v>
      </c>
      <c r="BO42" s="10">
        <v>415</v>
      </c>
      <c r="BP42" s="10">
        <v>461</v>
      </c>
      <c r="BQ42" s="10">
        <v>538</v>
      </c>
      <c r="BR42" s="10">
        <v>566</v>
      </c>
      <c r="BS42" s="10">
        <v>618</v>
      </c>
      <c r="BT42" s="10">
        <v>689</v>
      </c>
      <c r="BU42" s="10">
        <v>790</v>
      </c>
      <c r="BV42" s="10">
        <v>743</v>
      </c>
      <c r="BW42" s="10">
        <v>830</v>
      </c>
      <c r="BX42" s="10">
        <v>734</v>
      </c>
      <c r="BY42" s="10">
        <v>737</v>
      </c>
      <c r="BZ42" s="10">
        <v>715</v>
      </c>
      <c r="CA42" s="10">
        <v>826</v>
      </c>
      <c r="CB42" s="10">
        <v>836</v>
      </c>
      <c r="CC42" s="10">
        <v>942</v>
      </c>
      <c r="CD42" s="10">
        <v>953</v>
      </c>
      <c r="CE42" s="10">
        <v>993</v>
      </c>
      <c r="CF42" s="10">
        <v>1035</v>
      </c>
      <c r="CG42" s="10">
        <v>1126</v>
      </c>
      <c r="CH42" s="10">
        <v>1178</v>
      </c>
      <c r="CI42" s="10">
        <v>1374</v>
      </c>
      <c r="CJ42" s="10">
        <v>1343</v>
      </c>
      <c r="CK42" s="10">
        <v>1493</v>
      </c>
      <c r="CL42" s="10">
        <v>1599</v>
      </c>
      <c r="CM42" s="10">
        <v>1571</v>
      </c>
      <c r="CN42" s="10">
        <v>1517</v>
      </c>
      <c r="CO42" s="10">
        <v>1552</v>
      </c>
      <c r="CP42" s="10">
        <v>1461</v>
      </c>
      <c r="CQ42" s="10">
        <v>1430</v>
      </c>
      <c r="CR42" s="10">
        <v>1318</v>
      </c>
      <c r="CS42" s="10">
        <v>1172</v>
      </c>
      <c r="CT42" s="10">
        <v>1019</v>
      </c>
      <c r="CU42" s="10">
        <v>906</v>
      </c>
      <c r="CV42" s="10">
        <v>593</v>
      </c>
      <c r="CW42" s="10">
        <v>438</v>
      </c>
      <c r="CX42" s="10">
        <v>321</v>
      </c>
      <c r="CY42" s="10">
        <v>204</v>
      </c>
      <c r="CZ42" s="10">
        <v>147</v>
      </c>
    </row>
    <row r="43" spans="1:104" x14ac:dyDescent="0.3">
      <c r="A43" s="10">
        <v>2017</v>
      </c>
      <c r="C43" s="10">
        <v>113</v>
      </c>
      <c r="D43" s="10">
        <v>20</v>
      </c>
      <c r="E43" s="10">
        <v>13</v>
      </c>
      <c r="F43" s="10">
        <v>6</v>
      </c>
      <c r="G43" s="10">
        <v>9</v>
      </c>
      <c r="H43" s="10">
        <v>7</v>
      </c>
      <c r="I43" s="10">
        <v>6</v>
      </c>
      <c r="J43" s="10">
        <v>2</v>
      </c>
      <c r="K43" s="10">
        <v>3</v>
      </c>
      <c r="L43" s="10">
        <v>3</v>
      </c>
      <c r="M43" s="10">
        <v>1</v>
      </c>
      <c r="N43" s="10">
        <v>3</v>
      </c>
      <c r="O43" s="10">
        <v>8</v>
      </c>
      <c r="P43" s="10">
        <v>3</v>
      </c>
      <c r="Q43" s="10">
        <v>7</v>
      </c>
      <c r="R43" s="10">
        <v>8</v>
      </c>
      <c r="S43" s="10">
        <v>16</v>
      </c>
      <c r="T43" s="10">
        <v>12</v>
      </c>
      <c r="U43" s="10">
        <v>16</v>
      </c>
      <c r="V43" s="10">
        <v>15</v>
      </c>
      <c r="W43" s="10">
        <v>26</v>
      </c>
      <c r="X43" s="10">
        <v>24</v>
      </c>
      <c r="Y43" s="10">
        <v>31</v>
      </c>
      <c r="Z43" s="10">
        <v>39</v>
      </c>
      <c r="AA43" s="10">
        <v>16</v>
      </c>
      <c r="AB43" s="10">
        <v>31</v>
      </c>
      <c r="AC43" s="10">
        <v>30</v>
      </c>
      <c r="AD43" s="10">
        <v>32</v>
      </c>
      <c r="AE43" s="10">
        <v>39</v>
      </c>
      <c r="AF43" s="10">
        <v>25</v>
      </c>
      <c r="AG43" s="10">
        <v>28</v>
      </c>
      <c r="AH43" s="10">
        <v>35</v>
      </c>
      <c r="AI43" s="10">
        <v>28</v>
      </c>
      <c r="AJ43" s="10">
        <v>29</v>
      </c>
      <c r="AK43" s="10">
        <v>32</v>
      </c>
      <c r="AL43" s="10">
        <v>44</v>
      </c>
      <c r="AM43" s="10">
        <v>32</v>
      </c>
      <c r="AN43" s="10">
        <v>39</v>
      </c>
      <c r="AO43" s="10">
        <v>40</v>
      </c>
      <c r="AP43" s="10">
        <v>53</v>
      </c>
      <c r="AQ43" s="10">
        <v>43</v>
      </c>
      <c r="AR43" s="10">
        <v>46</v>
      </c>
      <c r="AS43" s="10">
        <v>66</v>
      </c>
      <c r="AT43" s="10">
        <v>74</v>
      </c>
      <c r="AU43" s="10">
        <v>54</v>
      </c>
      <c r="AV43" s="10">
        <v>82</v>
      </c>
      <c r="AW43" s="10">
        <v>71</v>
      </c>
      <c r="AX43" s="10">
        <v>113</v>
      </c>
      <c r="AY43" s="10">
        <v>93</v>
      </c>
      <c r="AZ43" s="10">
        <v>115</v>
      </c>
      <c r="BA43" s="10">
        <v>134</v>
      </c>
      <c r="BB43" s="10">
        <v>150</v>
      </c>
      <c r="BC43" s="10">
        <v>154</v>
      </c>
      <c r="BD43" s="10">
        <v>169</v>
      </c>
      <c r="BE43" s="10">
        <v>190</v>
      </c>
      <c r="BF43" s="10">
        <v>207</v>
      </c>
      <c r="BG43" s="10">
        <v>193</v>
      </c>
      <c r="BH43" s="10">
        <v>227</v>
      </c>
      <c r="BI43" s="10">
        <v>280</v>
      </c>
      <c r="BJ43" s="10">
        <v>272</v>
      </c>
      <c r="BK43" s="10">
        <v>309</v>
      </c>
      <c r="BL43" s="10">
        <v>342</v>
      </c>
      <c r="BM43" s="10">
        <v>339</v>
      </c>
      <c r="BN43" s="10">
        <v>352</v>
      </c>
      <c r="BO43" s="10">
        <v>428</v>
      </c>
      <c r="BP43" s="10">
        <v>440</v>
      </c>
      <c r="BQ43" s="10">
        <v>491</v>
      </c>
      <c r="BR43" s="10">
        <v>557</v>
      </c>
      <c r="BS43" s="10">
        <v>597</v>
      </c>
      <c r="BT43" s="10">
        <v>651</v>
      </c>
      <c r="BU43" s="10">
        <v>744</v>
      </c>
      <c r="BV43" s="10">
        <v>795</v>
      </c>
      <c r="BW43" s="10">
        <v>833</v>
      </c>
      <c r="BX43" s="10">
        <v>873</v>
      </c>
      <c r="BY43" s="10">
        <v>833</v>
      </c>
      <c r="BZ43" s="10">
        <v>810</v>
      </c>
      <c r="CA43" s="10">
        <v>775</v>
      </c>
      <c r="CB43" s="10">
        <v>887</v>
      </c>
      <c r="CC43" s="10">
        <v>955</v>
      </c>
      <c r="CD43" s="10">
        <v>992</v>
      </c>
      <c r="CE43" s="10">
        <v>1052</v>
      </c>
      <c r="CF43" s="10">
        <v>1075</v>
      </c>
      <c r="CG43" s="10">
        <v>1122</v>
      </c>
      <c r="CH43" s="10">
        <v>1126</v>
      </c>
      <c r="CI43" s="10">
        <v>1234</v>
      </c>
      <c r="CJ43" s="10">
        <v>1458</v>
      </c>
      <c r="CK43" s="10">
        <v>1485</v>
      </c>
      <c r="CL43" s="10">
        <v>1567</v>
      </c>
      <c r="CM43" s="10">
        <v>1474</v>
      </c>
      <c r="CN43" s="10">
        <v>1580</v>
      </c>
      <c r="CO43" s="10">
        <v>1542</v>
      </c>
      <c r="CP43" s="10">
        <v>1536</v>
      </c>
      <c r="CQ43" s="10">
        <v>1415</v>
      </c>
      <c r="CR43" s="10">
        <v>1318</v>
      </c>
      <c r="CS43" s="10">
        <v>1160</v>
      </c>
      <c r="CT43" s="10">
        <v>1052</v>
      </c>
      <c r="CU43" s="10">
        <v>877</v>
      </c>
      <c r="CV43" s="10">
        <v>702</v>
      </c>
      <c r="CW43" s="10">
        <v>444</v>
      </c>
      <c r="CX43" s="10">
        <v>321</v>
      </c>
      <c r="CY43" s="10">
        <v>223</v>
      </c>
      <c r="CZ43" s="10">
        <v>155</v>
      </c>
    </row>
    <row r="44" spans="1:104" x14ac:dyDescent="0.3">
      <c r="A44" s="10">
        <v>2018</v>
      </c>
      <c r="C44" s="10">
        <v>115</v>
      </c>
      <c r="D44" s="10">
        <v>16</v>
      </c>
      <c r="E44" s="10">
        <v>6</v>
      </c>
      <c r="F44" s="10">
        <v>1</v>
      </c>
      <c r="G44" s="10">
        <v>2</v>
      </c>
      <c r="H44" s="10">
        <v>3</v>
      </c>
      <c r="I44" s="10">
        <v>6</v>
      </c>
      <c r="J44" s="10">
        <v>4</v>
      </c>
      <c r="K44" s="10">
        <v>2</v>
      </c>
      <c r="L44" s="10">
        <v>3</v>
      </c>
      <c r="M44" s="10">
        <v>2</v>
      </c>
      <c r="N44" s="10">
        <v>5</v>
      </c>
      <c r="O44" s="10">
        <v>3</v>
      </c>
      <c r="P44" s="10">
        <v>10</v>
      </c>
      <c r="Q44" s="10">
        <v>6</v>
      </c>
      <c r="R44" s="10">
        <v>10</v>
      </c>
      <c r="S44" s="10">
        <v>7</v>
      </c>
      <c r="T44" s="10">
        <v>6</v>
      </c>
      <c r="U44" s="10">
        <v>14</v>
      </c>
      <c r="V44" s="10">
        <v>30</v>
      </c>
      <c r="W44" s="10">
        <v>14</v>
      </c>
      <c r="X44" s="10">
        <v>28</v>
      </c>
      <c r="Y44" s="10">
        <v>20</v>
      </c>
      <c r="Z44" s="10">
        <v>30</v>
      </c>
      <c r="AA44" s="10">
        <v>28</v>
      </c>
      <c r="AB44" s="10">
        <v>25</v>
      </c>
      <c r="AC44" s="10">
        <v>32</v>
      </c>
      <c r="AD44" s="10">
        <v>38</v>
      </c>
      <c r="AE44" s="10">
        <v>31</v>
      </c>
      <c r="AF44" s="10">
        <v>36</v>
      </c>
      <c r="AG44" s="10">
        <v>31</v>
      </c>
      <c r="AH44" s="10">
        <v>32</v>
      </c>
      <c r="AI44" s="10">
        <v>36</v>
      </c>
      <c r="AJ44" s="10">
        <v>32</v>
      </c>
      <c r="AK44" s="10">
        <v>40</v>
      </c>
      <c r="AL44" s="10">
        <v>35</v>
      </c>
      <c r="AM44" s="10">
        <v>44</v>
      </c>
      <c r="AN44" s="10">
        <v>44</v>
      </c>
      <c r="AO44" s="10">
        <v>49</v>
      </c>
      <c r="AP44" s="10">
        <v>65</v>
      </c>
      <c r="AQ44" s="10">
        <v>44</v>
      </c>
      <c r="AR44" s="10">
        <v>59</v>
      </c>
      <c r="AS44" s="10">
        <v>61</v>
      </c>
      <c r="AT44" s="10">
        <v>64</v>
      </c>
      <c r="AU44" s="10">
        <v>75</v>
      </c>
      <c r="AV44" s="10">
        <v>71</v>
      </c>
      <c r="AW44" s="10">
        <v>97</v>
      </c>
      <c r="AX44" s="10">
        <v>101</v>
      </c>
      <c r="AY44" s="10">
        <v>100</v>
      </c>
      <c r="AZ44" s="10">
        <v>115</v>
      </c>
      <c r="BA44" s="10">
        <v>144</v>
      </c>
      <c r="BB44" s="10">
        <v>141</v>
      </c>
      <c r="BC44" s="10">
        <v>155</v>
      </c>
      <c r="BD44" s="10">
        <v>159</v>
      </c>
      <c r="BE44" s="10">
        <v>173</v>
      </c>
      <c r="BF44" s="10">
        <v>191</v>
      </c>
      <c r="BG44" s="10">
        <v>210</v>
      </c>
      <c r="BH44" s="10">
        <v>239</v>
      </c>
      <c r="BI44" s="10">
        <v>252</v>
      </c>
      <c r="BJ44" s="10">
        <v>273</v>
      </c>
      <c r="BK44" s="10">
        <v>312</v>
      </c>
      <c r="BL44" s="10">
        <v>322</v>
      </c>
      <c r="BM44" s="10">
        <v>358</v>
      </c>
      <c r="BN44" s="10">
        <v>390</v>
      </c>
      <c r="BO44" s="10">
        <v>408</v>
      </c>
      <c r="BP44" s="10">
        <v>454</v>
      </c>
      <c r="BQ44" s="10">
        <v>498</v>
      </c>
      <c r="BR44" s="10">
        <v>487</v>
      </c>
      <c r="BS44" s="10">
        <v>578</v>
      </c>
      <c r="BT44" s="10">
        <v>622</v>
      </c>
      <c r="BU44" s="10">
        <v>708</v>
      </c>
      <c r="BV44" s="10">
        <v>789</v>
      </c>
      <c r="BW44" s="10">
        <v>887</v>
      </c>
      <c r="BX44" s="10">
        <v>849</v>
      </c>
      <c r="BY44" s="10">
        <v>857</v>
      </c>
      <c r="BZ44" s="10">
        <v>860</v>
      </c>
      <c r="CA44" s="10">
        <v>906</v>
      </c>
      <c r="CB44" s="10">
        <v>821</v>
      </c>
      <c r="CC44" s="10">
        <v>1034</v>
      </c>
      <c r="CD44" s="10">
        <v>1000</v>
      </c>
      <c r="CE44" s="10">
        <v>1080</v>
      </c>
      <c r="CF44" s="10">
        <v>1067</v>
      </c>
      <c r="CG44" s="10">
        <v>1172</v>
      </c>
      <c r="CH44" s="10">
        <v>1246</v>
      </c>
      <c r="CI44" s="10">
        <v>1235</v>
      </c>
      <c r="CJ44" s="10">
        <v>1268</v>
      </c>
      <c r="CK44" s="10">
        <v>1420</v>
      </c>
      <c r="CL44" s="10">
        <v>1500</v>
      </c>
      <c r="CM44" s="10">
        <v>1529</v>
      </c>
      <c r="CN44" s="10">
        <v>1519</v>
      </c>
      <c r="CO44" s="10">
        <v>1639</v>
      </c>
      <c r="CP44" s="10">
        <v>1414</v>
      </c>
      <c r="CQ44" s="10">
        <v>1474</v>
      </c>
      <c r="CR44" s="10">
        <v>1259</v>
      </c>
      <c r="CS44" s="10">
        <v>1123</v>
      </c>
      <c r="CT44" s="10">
        <v>1013</v>
      </c>
      <c r="CU44" s="10">
        <v>882</v>
      </c>
      <c r="CV44" s="10">
        <v>670</v>
      </c>
      <c r="CW44" s="10">
        <v>541</v>
      </c>
      <c r="CX44" s="10">
        <v>337</v>
      </c>
      <c r="CY44" s="10">
        <v>263</v>
      </c>
      <c r="CZ44" s="10">
        <v>144</v>
      </c>
    </row>
    <row r="45" spans="1:104" x14ac:dyDescent="0.3">
      <c r="A45" s="10">
        <v>2019</v>
      </c>
      <c r="C45" s="10">
        <v>99</v>
      </c>
      <c r="D45" s="10">
        <v>19</v>
      </c>
      <c r="E45" s="10">
        <v>10</v>
      </c>
      <c r="F45" s="10">
        <v>6</v>
      </c>
      <c r="G45" s="10">
        <v>6</v>
      </c>
      <c r="H45" s="10">
        <v>4</v>
      </c>
      <c r="I45" s="10">
        <v>3</v>
      </c>
      <c r="J45" s="10">
        <v>4</v>
      </c>
      <c r="K45" s="10">
        <v>3</v>
      </c>
      <c r="L45" s="10">
        <v>5</v>
      </c>
      <c r="M45" s="10">
        <v>8</v>
      </c>
      <c r="N45" s="10">
        <v>2</v>
      </c>
      <c r="O45" s="10">
        <v>6</v>
      </c>
      <c r="P45" s="10">
        <v>8</v>
      </c>
      <c r="Q45" s="10">
        <v>4</v>
      </c>
      <c r="R45" s="10">
        <v>9</v>
      </c>
      <c r="S45" s="10">
        <v>15</v>
      </c>
      <c r="T45" s="10">
        <v>9</v>
      </c>
      <c r="U45" s="10">
        <v>16</v>
      </c>
      <c r="V45" s="10">
        <v>26</v>
      </c>
      <c r="W45" s="10">
        <v>33</v>
      </c>
      <c r="X45" s="10">
        <v>24</v>
      </c>
      <c r="Y45" s="10">
        <v>30</v>
      </c>
      <c r="Z45" s="10">
        <v>30</v>
      </c>
      <c r="AA45" s="10">
        <v>36</v>
      </c>
      <c r="AB45" s="10">
        <v>29</v>
      </c>
      <c r="AC45" s="10">
        <v>33</v>
      </c>
      <c r="AD45" s="10">
        <v>26</v>
      </c>
      <c r="AE45" s="10">
        <v>34</v>
      </c>
      <c r="AF45" s="10">
        <v>32</v>
      </c>
      <c r="AG45" s="10">
        <v>34</v>
      </c>
      <c r="AH45" s="10">
        <v>30</v>
      </c>
      <c r="AI45" s="10">
        <v>49</v>
      </c>
      <c r="AJ45" s="10">
        <v>31</v>
      </c>
      <c r="AK45" s="10">
        <v>33</v>
      </c>
      <c r="AL45" s="10">
        <v>40</v>
      </c>
      <c r="AM45" s="10">
        <v>37</v>
      </c>
      <c r="AN45" s="10">
        <v>49</v>
      </c>
      <c r="AO45" s="10">
        <v>42</v>
      </c>
      <c r="AP45" s="10">
        <v>47</v>
      </c>
      <c r="AQ45" s="10">
        <v>56</v>
      </c>
      <c r="AR45" s="10">
        <v>49</v>
      </c>
      <c r="AS45" s="10">
        <v>47</v>
      </c>
      <c r="AT45" s="10">
        <v>64</v>
      </c>
      <c r="AU45" s="10">
        <v>67</v>
      </c>
      <c r="AV45" s="10">
        <v>79</v>
      </c>
      <c r="AW45" s="10">
        <v>82</v>
      </c>
      <c r="AX45" s="10">
        <v>96</v>
      </c>
      <c r="AY45" s="10">
        <v>108</v>
      </c>
      <c r="AZ45" s="10">
        <v>108</v>
      </c>
      <c r="BA45" s="10">
        <v>119</v>
      </c>
      <c r="BB45" s="10">
        <v>125</v>
      </c>
      <c r="BC45" s="10">
        <v>171</v>
      </c>
      <c r="BD45" s="10">
        <v>147</v>
      </c>
      <c r="BE45" s="10">
        <v>195</v>
      </c>
      <c r="BF45" s="10">
        <v>204</v>
      </c>
      <c r="BG45" s="10">
        <v>212</v>
      </c>
      <c r="BH45" s="10">
        <v>231</v>
      </c>
      <c r="BI45" s="10">
        <v>240</v>
      </c>
      <c r="BJ45" s="10">
        <v>240</v>
      </c>
      <c r="BK45" s="10">
        <v>284</v>
      </c>
      <c r="BL45" s="10">
        <v>307</v>
      </c>
      <c r="BM45" s="10">
        <v>367</v>
      </c>
      <c r="BN45" s="10">
        <v>425</v>
      </c>
      <c r="BO45" s="10">
        <v>423</v>
      </c>
      <c r="BP45" s="10">
        <v>462</v>
      </c>
      <c r="BQ45" s="10">
        <v>476</v>
      </c>
      <c r="BR45" s="10">
        <v>505</v>
      </c>
      <c r="BS45" s="10">
        <v>508</v>
      </c>
      <c r="BT45" s="10">
        <v>580</v>
      </c>
      <c r="BU45" s="10">
        <v>694</v>
      </c>
      <c r="BV45" s="10">
        <v>722</v>
      </c>
      <c r="BW45" s="10">
        <v>866</v>
      </c>
      <c r="BX45" s="10">
        <v>932</v>
      </c>
      <c r="BY45" s="10">
        <v>982</v>
      </c>
      <c r="BZ45" s="10">
        <v>1006</v>
      </c>
      <c r="CA45" s="10">
        <v>935</v>
      </c>
      <c r="CB45" s="10">
        <v>951</v>
      </c>
      <c r="CC45" s="10">
        <v>901</v>
      </c>
      <c r="CD45" s="10">
        <v>1001</v>
      </c>
      <c r="CE45" s="10">
        <v>1110</v>
      </c>
      <c r="CF45" s="10">
        <v>1090</v>
      </c>
      <c r="CG45" s="10">
        <v>1132</v>
      </c>
      <c r="CH45" s="10">
        <v>1189</v>
      </c>
      <c r="CI45" s="10">
        <v>1296</v>
      </c>
      <c r="CJ45" s="10">
        <v>1306</v>
      </c>
      <c r="CK45" s="10">
        <v>1344</v>
      </c>
      <c r="CL45" s="10">
        <v>1475</v>
      </c>
      <c r="CM45" s="10">
        <v>1535</v>
      </c>
      <c r="CN45" s="10">
        <v>1524</v>
      </c>
      <c r="CO45" s="10">
        <v>1427</v>
      </c>
      <c r="CP45" s="10">
        <v>1476</v>
      </c>
      <c r="CQ45" s="10">
        <v>1381</v>
      </c>
      <c r="CR45" s="10">
        <v>1255</v>
      </c>
      <c r="CS45" s="10">
        <v>1164</v>
      </c>
      <c r="CT45" s="10">
        <v>980</v>
      </c>
      <c r="CU45" s="10">
        <v>785</v>
      </c>
      <c r="CV45" s="10">
        <v>707</v>
      </c>
      <c r="CW45" s="10">
        <v>546</v>
      </c>
      <c r="CX45" s="10">
        <v>389</v>
      </c>
      <c r="CY45" s="10">
        <v>241</v>
      </c>
      <c r="CZ45" s="10">
        <v>170</v>
      </c>
    </row>
    <row r="46" spans="1:104" x14ac:dyDescent="0.3">
      <c r="A46" s="10">
        <v>2020</v>
      </c>
      <c r="C46" s="10">
        <v>82</v>
      </c>
      <c r="D46" s="10">
        <v>15</v>
      </c>
      <c r="E46" s="10">
        <v>6</v>
      </c>
      <c r="F46" s="10">
        <v>7</v>
      </c>
      <c r="G46" s="10">
        <v>1</v>
      </c>
      <c r="H46" s="10">
        <v>4</v>
      </c>
      <c r="I46" s="10">
        <v>3</v>
      </c>
      <c r="J46" s="10">
        <v>8</v>
      </c>
      <c r="K46" s="10">
        <v>2</v>
      </c>
      <c r="L46" s="10">
        <v>2</v>
      </c>
      <c r="M46" s="10">
        <v>4</v>
      </c>
      <c r="N46" s="10">
        <v>3</v>
      </c>
      <c r="O46" s="10">
        <v>5</v>
      </c>
      <c r="P46" s="10">
        <v>6</v>
      </c>
      <c r="Q46" s="10">
        <v>9</v>
      </c>
      <c r="R46" s="10">
        <v>11</v>
      </c>
      <c r="S46" s="10">
        <v>11</v>
      </c>
      <c r="T46" s="10">
        <v>23</v>
      </c>
      <c r="U46" s="10">
        <v>22</v>
      </c>
      <c r="V46" s="10">
        <v>19</v>
      </c>
      <c r="W46" s="10">
        <v>26</v>
      </c>
      <c r="X46" s="10">
        <v>21</v>
      </c>
      <c r="Y46" s="10">
        <v>25</v>
      </c>
      <c r="Z46" s="10">
        <v>21</v>
      </c>
      <c r="AA46" s="10">
        <v>26</v>
      </c>
      <c r="AB46" s="10">
        <v>30</v>
      </c>
      <c r="AC46" s="10">
        <v>38</v>
      </c>
      <c r="AD46" s="10">
        <v>32</v>
      </c>
      <c r="AE46" s="10">
        <v>28</v>
      </c>
      <c r="AF46" s="10">
        <v>33</v>
      </c>
      <c r="AG46" s="10">
        <v>25</v>
      </c>
      <c r="AH46" s="10">
        <v>45</v>
      </c>
      <c r="AI46" s="10">
        <v>37</v>
      </c>
      <c r="AJ46" s="10">
        <v>33</v>
      </c>
      <c r="AK46" s="10">
        <v>36</v>
      </c>
      <c r="AL46" s="10">
        <v>36</v>
      </c>
      <c r="AM46" s="10">
        <v>42</v>
      </c>
      <c r="AN46" s="10">
        <v>39</v>
      </c>
      <c r="AO46" s="10">
        <v>55</v>
      </c>
      <c r="AP46" s="10">
        <v>44</v>
      </c>
      <c r="AQ46" s="10">
        <v>59</v>
      </c>
      <c r="AR46" s="10">
        <v>56</v>
      </c>
      <c r="AS46" s="10">
        <v>62</v>
      </c>
      <c r="AT46" s="10">
        <v>72</v>
      </c>
      <c r="AU46" s="10">
        <v>67</v>
      </c>
      <c r="AV46" s="10">
        <v>62</v>
      </c>
      <c r="AW46" s="10">
        <v>77</v>
      </c>
      <c r="AX46" s="10">
        <v>101</v>
      </c>
      <c r="AY46" s="10">
        <v>112</v>
      </c>
      <c r="AZ46" s="10">
        <v>143</v>
      </c>
      <c r="BA46" s="10">
        <v>116</v>
      </c>
      <c r="BB46" s="10">
        <v>142</v>
      </c>
      <c r="BC46" s="10">
        <v>146</v>
      </c>
      <c r="BD46" s="10">
        <v>162</v>
      </c>
      <c r="BE46" s="10">
        <v>180</v>
      </c>
      <c r="BF46" s="10">
        <v>181</v>
      </c>
      <c r="BG46" s="10">
        <v>229</v>
      </c>
      <c r="BH46" s="10">
        <v>225</v>
      </c>
      <c r="BI46" s="10">
        <v>232</v>
      </c>
      <c r="BJ46" s="10">
        <v>243</v>
      </c>
      <c r="BK46" s="10">
        <v>277</v>
      </c>
      <c r="BL46" s="10">
        <v>289</v>
      </c>
      <c r="BM46" s="10">
        <v>343</v>
      </c>
      <c r="BN46" s="10">
        <v>372</v>
      </c>
      <c r="BO46" s="10">
        <v>398</v>
      </c>
      <c r="BP46" s="10">
        <v>426</v>
      </c>
      <c r="BQ46" s="10">
        <v>470</v>
      </c>
      <c r="BR46" s="10">
        <v>544</v>
      </c>
      <c r="BS46" s="10">
        <v>555</v>
      </c>
      <c r="BT46" s="10">
        <v>587</v>
      </c>
      <c r="BU46" s="10">
        <v>584</v>
      </c>
      <c r="BV46" s="10">
        <v>768</v>
      </c>
      <c r="BW46" s="10">
        <v>802</v>
      </c>
      <c r="BX46" s="10">
        <v>916</v>
      </c>
      <c r="BY46" s="10">
        <v>1012</v>
      </c>
      <c r="BZ46" s="10">
        <v>1047</v>
      </c>
      <c r="CA46" s="10">
        <v>1005</v>
      </c>
      <c r="CB46" s="10">
        <v>964</v>
      </c>
      <c r="CC46" s="10">
        <v>998</v>
      </c>
      <c r="CD46" s="10">
        <v>978</v>
      </c>
      <c r="CE46" s="10">
        <v>1085</v>
      </c>
      <c r="CF46" s="10">
        <v>1146</v>
      </c>
      <c r="CG46" s="10">
        <v>1160</v>
      </c>
      <c r="CH46" s="10">
        <v>1251</v>
      </c>
      <c r="CI46" s="10">
        <v>1261</v>
      </c>
      <c r="CJ46" s="10">
        <v>1333</v>
      </c>
      <c r="CK46" s="10">
        <v>1317</v>
      </c>
      <c r="CL46" s="10">
        <v>1327</v>
      </c>
      <c r="CM46" s="10">
        <v>1435</v>
      </c>
      <c r="CN46" s="10">
        <v>1556</v>
      </c>
      <c r="CO46" s="10">
        <v>1584</v>
      </c>
      <c r="CP46" s="10">
        <v>1405</v>
      </c>
      <c r="CQ46" s="10">
        <v>1310</v>
      </c>
      <c r="CR46" s="10">
        <v>1234</v>
      </c>
      <c r="CS46" s="10">
        <v>1205</v>
      </c>
      <c r="CT46" s="10">
        <v>966</v>
      </c>
      <c r="CU46" s="10">
        <v>829</v>
      </c>
      <c r="CV46" s="10">
        <v>686</v>
      </c>
      <c r="CW46" s="10">
        <v>532</v>
      </c>
      <c r="CX46" s="10">
        <v>376</v>
      </c>
      <c r="CY46" s="10">
        <v>296</v>
      </c>
      <c r="CZ46" s="10">
        <v>154</v>
      </c>
    </row>
    <row r="47" spans="1:104" x14ac:dyDescent="0.3">
      <c r="A47" s="10">
        <v>2021</v>
      </c>
      <c r="C47" s="10">
        <v>92</v>
      </c>
      <c r="D47" s="10">
        <v>15</v>
      </c>
      <c r="E47" s="10">
        <v>6</v>
      </c>
      <c r="F47" s="10">
        <v>3</v>
      </c>
      <c r="G47" s="10">
        <v>3</v>
      </c>
      <c r="H47" s="10">
        <v>3</v>
      </c>
      <c r="I47" s="10">
        <v>0</v>
      </c>
      <c r="J47" s="10">
        <v>2</v>
      </c>
      <c r="K47" s="10">
        <v>4</v>
      </c>
      <c r="L47" s="10">
        <v>4</v>
      </c>
      <c r="M47" s="10">
        <v>6</v>
      </c>
      <c r="N47" s="10">
        <v>4</v>
      </c>
      <c r="O47" s="10">
        <v>8</v>
      </c>
      <c r="P47" s="10">
        <v>8</v>
      </c>
      <c r="Q47" s="10">
        <v>7</v>
      </c>
      <c r="R47" s="10">
        <v>9</v>
      </c>
      <c r="S47" s="10">
        <v>17</v>
      </c>
      <c r="T47" s="10">
        <v>18</v>
      </c>
      <c r="U47" s="10">
        <v>24</v>
      </c>
      <c r="V47" s="10">
        <v>18</v>
      </c>
      <c r="W47" s="10">
        <v>15</v>
      </c>
      <c r="X47" s="10">
        <v>20</v>
      </c>
      <c r="Y47" s="10">
        <v>23</v>
      </c>
      <c r="Z47" s="10">
        <v>26</v>
      </c>
      <c r="AA47" s="10">
        <v>19</v>
      </c>
      <c r="AB47" s="10">
        <v>28</v>
      </c>
      <c r="AC47" s="10">
        <v>22</v>
      </c>
      <c r="AD47" s="10">
        <v>32</v>
      </c>
      <c r="AE47" s="10">
        <v>33</v>
      </c>
      <c r="AF47" s="10">
        <v>30</v>
      </c>
      <c r="AG47" s="10">
        <v>26</v>
      </c>
      <c r="AH47" s="10">
        <v>27</v>
      </c>
      <c r="AI47" s="10">
        <v>30</v>
      </c>
      <c r="AJ47" s="10">
        <v>39</v>
      </c>
      <c r="AK47" s="10">
        <v>32</v>
      </c>
      <c r="AL47" s="10">
        <v>40</v>
      </c>
      <c r="AM47" s="10">
        <v>35</v>
      </c>
      <c r="AN47" s="10">
        <v>29</v>
      </c>
      <c r="AO47" s="10">
        <v>59</v>
      </c>
      <c r="AP47" s="10">
        <v>58</v>
      </c>
      <c r="AQ47" s="10">
        <v>52</v>
      </c>
      <c r="AR47" s="10">
        <v>46</v>
      </c>
      <c r="AS47" s="10">
        <v>64</v>
      </c>
      <c r="AT47" s="10">
        <v>56</v>
      </c>
      <c r="AU47" s="10">
        <v>68</v>
      </c>
      <c r="AV47" s="10">
        <v>69</v>
      </c>
      <c r="AW47" s="10">
        <v>82</v>
      </c>
      <c r="AX47" s="10">
        <v>100</v>
      </c>
      <c r="AY47" s="10">
        <v>99</v>
      </c>
      <c r="AZ47" s="10">
        <v>115</v>
      </c>
      <c r="BA47" s="10">
        <v>122</v>
      </c>
      <c r="BB47" s="10">
        <v>139</v>
      </c>
      <c r="BC47" s="10">
        <v>167</v>
      </c>
      <c r="BD47" s="10">
        <v>140</v>
      </c>
      <c r="BE47" s="10">
        <v>157</v>
      </c>
      <c r="BF47" s="10">
        <v>193</v>
      </c>
      <c r="BG47" s="10">
        <v>227</v>
      </c>
      <c r="BH47" s="10">
        <v>226</v>
      </c>
      <c r="BI47" s="10">
        <v>249</v>
      </c>
      <c r="BJ47" s="10">
        <v>263</v>
      </c>
      <c r="BK47" s="10">
        <v>256</v>
      </c>
      <c r="BL47" s="10">
        <v>297</v>
      </c>
      <c r="BM47" s="10">
        <v>317</v>
      </c>
      <c r="BN47" s="10">
        <v>383</v>
      </c>
      <c r="BO47" s="10">
        <v>422</v>
      </c>
      <c r="BP47" s="10">
        <v>497</v>
      </c>
      <c r="BQ47" s="10">
        <v>485</v>
      </c>
      <c r="BR47" s="10">
        <v>525</v>
      </c>
      <c r="BS47" s="10">
        <v>522</v>
      </c>
      <c r="BT47" s="10">
        <v>601</v>
      </c>
      <c r="BU47" s="10">
        <v>614</v>
      </c>
      <c r="BV47" s="10">
        <v>725</v>
      </c>
      <c r="BW47" s="10">
        <v>806</v>
      </c>
      <c r="BX47" s="10">
        <v>919</v>
      </c>
      <c r="BY47" s="10">
        <v>977</v>
      </c>
      <c r="BZ47" s="10">
        <v>1113</v>
      </c>
      <c r="CA47" s="10">
        <v>1101</v>
      </c>
      <c r="CB47" s="10">
        <v>1148</v>
      </c>
      <c r="CC47" s="10">
        <v>1156</v>
      </c>
      <c r="CD47" s="10">
        <v>1125</v>
      </c>
      <c r="CE47" s="10">
        <v>995</v>
      </c>
      <c r="CF47" s="10">
        <v>1194</v>
      </c>
      <c r="CG47" s="10">
        <v>1269</v>
      </c>
      <c r="CH47" s="10">
        <v>1304</v>
      </c>
      <c r="CI47" s="10">
        <v>1376</v>
      </c>
      <c r="CJ47" s="10">
        <v>1337</v>
      </c>
      <c r="CK47" s="10">
        <v>1357</v>
      </c>
      <c r="CL47" s="10">
        <v>1501</v>
      </c>
      <c r="CM47" s="10">
        <v>1510</v>
      </c>
      <c r="CN47" s="10">
        <v>1615</v>
      </c>
      <c r="CO47" s="10">
        <v>1548</v>
      </c>
      <c r="CP47" s="10">
        <v>1451</v>
      </c>
      <c r="CQ47" s="10">
        <v>1348</v>
      </c>
      <c r="CR47" s="10">
        <v>1301</v>
      </c>
      <c r="CS47" s="10">
        <v>1165</v>
      </c>
      <c r="CT47" s="10">
        <v>973</v>
      </c>
      <c r="CU47" s="10">
        <v>825</v>
      </c>
      <c r="CV47" s="10">
        <v>725</v>
      </c>
      <c r="CW47" s="10">
        <v>525</v>
      </c>
      <c r="CX47" s="10">
        <v>403</v>
      </c>
      <c r="CY47" s="10">
        <v>304</v>
      </c>
      <c r="CZ47" s="10">
        <v>209</v>
      </c>
    </row>
    <row r="48" spans="1:104" x14ac:dyDescent="0.3">
      <c r="A48" s="10">
        <v>2022</v>
      </c>
      <c r="C48" s="10">
        <v>85</v>
      </c>
      <c r="D48" s="10">
        <v>24</v>
      </c>
      <c r="E48" s="10">
        <v>5</v>
      </c>
      <c r="F48" s="10">
        <v>6</v>
      </c>
      <c r="G48" s="10">
        <v>4</v>
      </c>
      <c r="H48" s="10">
        <v>5</v>
      </c>
      <c r="I48" s="10">
        <v>5</v>
      </c>
      <c r="J48" s="10">
        <v>7</v>
      </c>
      <c r="K48" s="10">
        <v>2</v>
      </c>
      <c r="L48" s="10">
        <v>2</v>
      </c>
      <c r="M48" s="10">
        <v>7</v>
      </c>
      <c r="N48" s="10">
        <v>7</v>
      </c>
      <c r="O48" s="10">
        <v>1</v>
      </c>
      <c r="P48" s="10">
        <v>6</v>
      </c>
      <c r="Q48" s="10">
        <v>3</v>
      </c>
      <c r="R48" s="10">
        <v>11</v>
      </c>
      <c r="S48" s="10">
        <v>7</v>
      </c>
      <c r="T48" s="10">
        <v>13</v>
      </c>
      <c r="U48" s="10">
        <v>16</v>
      </c>
      <c r="V48" s="10">
        <v>21</v>
      </c>
      <c r="W48" s="10">
        <v>25</v>
      </c>
      <c r="X48" s="10">
        <v>27</v>
      </c>
      <c r="Y48" s="10">
        <v>18</v>
      </c>
      <c r="Z48" s="10">
        <v>20</v>
      </c>
      <c r="AA48" s="10">
        <v>24</v>
      </c>
      <c r="AB48" s="10">
        <v>26</v>
      </c>
      <c r="AC48" s="10">
        <v>35</v>
      </c>
      <c r="AD48" s="10">
        <v>28</v>
      </c>
      <c r="AE48" s="10">
        <v>39</v>
      </c>
      <c r="AF48" s="10">
        <v>36</v>
      </c>
      <c r="AG48" s="10">
        <v>36</v>
      </c>
      <c r="AH48" s="10">
        <v>34</v>
      </c>
      <c r="AI48" s="10">
        <v>28</v>
      </c>
      <c r="AJ48" s="10">
        <v>42</v>
      </c>
      <c r="AK48" s="10">
        <v>42</v>
      </c>
      <c r="AL48" s="10">
        <v>26</v>
      </c>
      <c r="AM48" s="10">
        <v>34</v>
      </c>
      <c r="AN48" s="10">
        <v>43</v>
      </c>
      <c r="AO48" s="10">
        <v>42</v>
      </c>
      <c r="AP48" s="10">
        <v>58</v>
      </c>
      <c r="AQ48" s="10">
        <v>54</v>
      </c>
      <c r="AR48" s="10">
        <v>52</v>
      </c>
      <c r="AS48" s="10">
        <v>64</v>
      </c>
      <c r="AT48" s="10">
        <v>62</v>
      </c>
      <c r="AU48" s="10">
        <v>86</v>
      </c>
      <c r="AV48" s="10">
        <v>76</v>
      </c>
      <c r="AW48" s="10">
        <v>100</v>
      </c>
      <c r="AX48" s="10">
        <v>89</v>
      </c>
      <c r="AY48" s="10">
        <v>102</v>
      </c>
      <c r="AZ48" s="10">
        <v>121</v>
      </c>
      <c r="BA48" s="10">
        <v>143</v>
      </c>
      <c r="BB48" s="10">
        <v>155</v>
      </c>
      <c r="BC48" s="10">
        <v>142</v>
      </c>
      <c r="BD48" s="10">
        <v>205</v>
      </c>
      <c r="BE48" s="10">
        <v>194</v>
      </c>
      <c r="BF48" s="10">
        <v>228</v>
      </c>
      <c r="BG48" s="10">
        <v>216</v>
      </c>
      <c r="BH48" s="10">
        <v>224</v>
      </c>
      <c r="BI48" s="10">
        <v>271</v>
      </c>
      <c r="BJ48" s="10">
        <v>289</v>
      </c>
      <c r="BK48" s="10">
        <v>282</v>
      </c>
      <c r="BL48" s="10">
        <v>326</v>
      </c>
      <c r="BM48" s="10">
        <v>333</v>
      </c>
      <c r="BN48" s="10">
        <v>407</v>
      </c>
      <c r="BO48" s="10">
        <v>421</v>
      </c>
      <c r="BP48" s="10">
        <v>436</v>
      </c>
      <c r="BQ48" s="10">
        <v>542</v>
      </c>
      <c r="BR48" s="10">
        <v>552</v>
      </c>
      <c r="BS48" s="10">
        <v>583</v>
      </c>
      <c r="BT48" s="10">
        <v>643</v>
      </c>
      <c r="BU48" s="10">
        <v>705</v>
      </c>
      <c r="BV48" s="10">
        <v>712</v>
      </c>
      <c r="BW48" s="10">
        <v>836</v>
      </c>
      <c r="BX48" s="10">
        <v>897</v>
      </c>
      <c r="BY48" s="10">
        <v>1040</v>
      </c>
      <c r="BZ48" s="10">
        <v>1179</v>
      </c>
      <c r="CA48" s="10">
        <v>1362</v>
      </c>
      <c r="CB48" s="10">
        <v>1302</v>
      </c>
      <c r="CC48" s="10">
        <v>1333</v>
      </c>
      <c r="CD48" s="10">
        <v>1278</v>
      </c>
      <c r="CE48" s="10">
        <v>1246</v>
      </c>
      <c r="CF48" s="10">
        <v>1217</v>
      </c>
      <c r="CG48" s="10">
        <v>1337</v>
      </c>
      <c r="CH48" s="10">
        <v>1449</v>
      </c>
      <c r="CI48" s="10">
        <v>1490</v>
      </c>
      <c r="CJ48" s="10">
        <v>1508</v>
      </c>
      <c r="CK48" s="10">
        <v>1548</v>
      </c>
      <c r="CL48" s="10">
        <v>1488</v>
      </c>
      <c r="CM48" s="10">
        <v>1606</v>
      </c>
      <c r="CN48" s="10">
        <v>1628</v>
      </c>
      <c r="CO48" s="10">
        <v>1697</v>
      </c>
      <c r="CP48" s="10">
        <v>1579</v>
      </c>
      <c r="CQ48" s="10">
        <v>1615</v>
      </c>
      <c r="CR48" s="10">
        <v>1384</v>
      </c>
      <c r="CS48" s="10">
        <v>1275</v>
      </c>
      <c r="CT48" s="10">
        <v>1115</v>
      </c>
      <c r="CU48" s="10">
        <v>982</v>
      </c>
      <c r="CV48" s="10">
        <v>784</v>
      </c>
      <c r="CW48" s="10">
        <v>604</v>
      </c>
      <c r="CX48" s="10">
        <v>448</v>
      </c>
      <c r="CY48" s="10">
        <v>282</v>
      </c>
      <c r="CZ48" s="10">
        <v>217</v>
      </c>
    </row>
    <row r="49" spans="1:109" x14ac:dyDescent="0.3">
      <c r="A49" s="2"/>
      <c r="B49" t="s">
        <v>22</v>
      </c>
      <c r="C49" s="8">
        <f>AVERAGE(C29:C48)</f>
        <v>129.80000000000001</v>
      </c>
      <c r="D49" s="8">
        <f t="shared" ref="D49:BO49" si="0">AVERAGE(D29:D48)</f>
        <v>25.8</v>
      </c>
      <c r="E49" s="8">
        <f t="shared" si="0"/>
        <v>10.45</v>
      </c>
      <c r="F49" s="8">
        <f t="shared" si="0"/>
        <v>6.95</v>
      </c>
      <c r="G49" s="8">
        <f t="shared" si="0"/>
        <v>5.0999999999999996</v>
      </c>
      <c r="H49" s="8">
        <f t="shared" si="0"/>
        <v>5.9</v>
      </c>
      <c r="I49" s="8">
        <f t="shared" si="0"/>
        <v>5.3</v>
      </c>
      <c r="J49" s="8">
        <f t="shared" si="0"/>
        <v>5.3</v>
      </c>
      <c r="K49" s="8">
        <f t="shared" si="0"/>
        <v>3.65</v>
      </c>
      <c r="L49" s="8">
        <f t="shared" si="0"/>
        <v>4.3499999999999996</v>
      </c>
      <c r="M49" s="8">
        <f t="shared" si="0"/>
        <v>5.15</v>
      </c>
      <c r="N49" s="8">
        <f t="shared" si="0"/>
        <v>5</v>
      </c>
      <c r="O49" s="8">
        <f t="shared" si="0"/>
        <v>5.2</v>
      </c>
      <c r="P49" s="8">
        <f t="shared" si="0"/>
        <v>6.25</v>
      </c>
      <c r="Q49" s="8">
        <f t="shared" si="0"/>
        <v>7</v>
      </c>
      <c r="R49" s="8">
        <f t="shared" si="0"/>
        <v>9.4</v>
      </c>
      <c r="S49" s="8">
        <f t="shared" si="0"/>
        <v>12.9</v>
      </c>
      <c r="T49" s="8">
        <f t="shared" si="0"/>
        <v>16.399999999999999</v>
      </c>
      <c r="U49" s="8">
        <f t="shared" si="0"/>
        <v>22.1</v>
      </c>
      <c r="V49" s="8">
        <f t="shared" si="0"/>
        <v>27.15</v>
      </c>
      <c r="W49" s="8">
        <f t="shared" si="0"/>
        <v>29.05</v>
      </c>
      <c r="X49" s="8">
        <f t="shared" si="0"/>
        <v>28.65</v>
      </c>
      <c r="Y49" s="8">
        <f t="shared" si="0"/>
        <v>28.3</v>
      </c>
      <c r="Z49" s="8">
        <f t="shared" si="0"/>
        <v>30.9</v>
      </c>
      <c r="AA49" s="8">
        <f t="shared" si="0"/>
        <v>28.85</v>
      </c>
      <c r="AB49" s="8">
        <f t="shared" si="0"/>
        <v>32.1</v>
      </c>
      <c r="AC49" s="8">
        <f t="shared" si="0"/>
        <v>32.6</v>
      </c>
      <c r="AD49" s="8">
        <f t="shared" si="0"/>
        <v>36.4</v>
      </c>
      <c r="AE49" s="8">
        <f t="shared" si="0"/>
        <v>35.25</v>
      </c>
      <c r="AF49" s="8">
        <f t="shared" si="0"/>
        <v>35.75</v>
      </c>
      <c r="AG49" s="8">
        <f t="shared" si="0"/>
        <v>34.35</v>
      </c>
      <c r="AH49" s="8">
        <f t="shared" si="0"/>
        <v>34.549999999999997</v>
      </c>
      <c r="AI49" s="8">
        <f t="shared" si="0"/>
        <v>40.549999999999997</v>
      </c>
      <c r="AJ49" s="8">
        <f t="shared" si="0"/>
        <v>39.65</v>
      </c>
      <c r="AK49" s="8">
        <f t="shared" si="0"/>
        <v>43.4</v>
      </c>
      <c r="AL49" s="8">
        <f t="shared" si="0"/>
        <v>44.35</v>
      </c>
      <c r="AM49" s="8">
        <f t="shared" si="0"/>
        <v>46.9</v>
      </c>
      <c r="AN49" s="8">
        <f t="shared" si="0"/>
        <v>49.9</v>
      </c>
      <c r="AO49" s="8">
        <f t="shared" si="0"/>
        <v>53.9</v>
      </c>
      <c r="AP49" s="8">
        <f t="shared" si="0"/>
        <v>57.3</v>
      </c>
      <c r="AQ49" s="8">
        <f t="shared" si="0"/>
        <v>60.55</v>
      </c>
      <c r="AR49" s="8">
        <f t="shared" si="0"/>
        <v>65.95</v>
      </c>
      <c r="AS49" s="8">
        <f t="shared" si="0"/>
        <v>69.349999999999994</v>
      </c>
      <c r="AT49" s="8">
        <f t="shared" si="0"/>
        <v>74.95</v>
      </c>
      <c r="AU49" s="8">
        <f t="shared" si="0"/>
        <v>83.75</v>
      </c>
      <c r="AV49" s="8">
        <f t="shared" si="0"/>
        <v>90.9</v>
      </c>
      <c r="AW49" s="8">
        <f t="shared" si="0"/>
        <v>99.55</v>
      </c>
      <c r="AX49" s="8">
        <f t="shared" si="0"/>
        <v>108.85</v>
      </c>
      <c r="AY49" s="8">
        <f t="shared" si="0"/>
        <v>118.15</v>
      </c>
      <c r="AZ49" s="8">
        <f t="shared" si="0"/>
        <v>135.15</v>
      </c>
      <c r="BA49" s="8">
        <f t="shared" si="0"/>
        <v>142.44999999999999</v>
      </c>
      <c r="BB49" s="8">
        <f t="shared" si="0"/>
        <v>156.94999999999999</v>
      </c>
      <c r="BC49" s="8">
        <f t="shared" si="0"/>
        <v>172.65</v>
      </c>
      <c r="BD49" s="8">
        <f t="shared" si="0"/>
        <v>186.45</v>
      </c>
      <c r="BE49" s="8">
        <f t="shared" si="0"/>
        <v>204.05</v>
      </c>
      <c r="BF49" s="8">
        <f t="shared" si="0"/>
        <v>222.9</v>
      </c>
      <c r="BG49" s="8">
        <f t="shared" si="0"/>
        <v>242.35</v>
      </c>
      <c r="BH49" s="8">
        <f t="shared" si="0"/>
        <v>260.25</v>
      </c>
      <c r="BI49" s="8">
        <f t="shared" si="0"/>
        <v>278.85000000000002</v>
      </c>
      <c r="BJ49" s="8">
        <f t="shared" si="0"/>
        <v>303.64999999999998</v>
      </c>
      <c r="BK49" s="8">
        <f t="shared" si="0"/>
        <v>336.85</v>
      </c>
      <c r="BL49" s="8">
        <f t="shared" si="0"/>
        <v>349.55</v>
      </c>
      <c r="BM49" s="8">
        <f t="shared" si="0"/>
        <v>381.35</v>
      </c>
      <c r="BN49" s="8">
        <f t="shared" si="0"/>
        <v>412.75</v>
      </c>
      <c r="BO49" s="8">
        <f t="shared" si="0"/>
        <v>431.2</v>
      </c>
      <c r="BP49" s="8">
        <f t="shared" ref="BP49:CZ49" si="1">AVERAGE(BP29:BP48)</f>
        <v>464.7</v>
      </c>
      <c r="BQ49" s="8">
        <f t="shared" si="1"/>
        <v>493.85</v>
      </c>
      <c r="BR49" s="8">
        <f t="shared" si="1"/>
        <v>530.9</v>
      </c>
      <c r="BS49" s="8">
        <f t="shared" si="1"/>
        <v>549.85</v>
      </c>
      <c r="BT49" s="8">
        <f t="shared" si="1"/>
        <v>590.29999999999995</v>
      </c>
      <c r="BU49" s="8">
        <f t="shared" si="1"/>
        <v>607.04999999999995</v>
      </c>
      <c r="BV49" s="8">
        <f t="shared" si="1"/>
        <v>652.35</v>
      </c>
      <c r="BW49" s="8">
        <f t="shared" si="1"/>
        <v>707.2</v>
      </c>
      <c r="BX49" s="8">
        <f t="shared" si="1"/>
        <v>747.1</v>
      </c>
      <c r="BY49" s="8">
        <f t="shared" si="1"/>
        <v>798.4</v>
      </c>
      <c r="BZ49" s="8">
        <f t="shared" si="1"/>
        <v>849.15</v>
      </c>
      <c r="CA49" s="8">
        <f t="shared" si="1"/>
        <v>901.9</v>
      </c>
      <c r="CB49" s="8">
        <f t="shared" si="1"/>
        <v>950</v>
      </c>
      <c r="CC49" s="8">
        <f t="shared" si="1"/>
        <v>1021.45</v>
      </c>
      <c r="CD49" s="8">
        <f t="shared" si="1"/>
        <v>1086.4000000000001</v>
      </c>
      <c r="CE49" s="8">
        <f t="shared" si="1"/>
        <v>1158.1500000000001</v>
      </c>
      <c r="CF49" s="8">
        <f t="shared" si="1"/>
        <v>1253.95</v>
      </c>
      <c r="CG49" s="8">
        <f t="shared" si="1"/>
        <v>1330.8</v>
      </c>
      <c r="CH49" s="8">
        <f t="shared" si="1"/>
        <v>1437.3</v>
      </c>
      <c r="CI49" s="8">
        <f t="shared" si="1"/>
        <v>1496.45</v>
      </c>
      <c r="CJ49" s="8">
        <f t="shared" si="1"/>
        <v>1551.85</v>
      </c>
      <c r="CK49" s="8">
        <f t="shared" si="1"/>
        <v>1598.85</v>
      </c>
      <c r="CL49" s="8">
        <f t="shared" si="1"/>
        <v>1626.6</v>
      </c>
      <c r="CM49" s="8">
        <f t="shared" si="1"/>
        <v>1618.95</v>
      </c>
      <c r="CN49" s="8">
        <f t="shared" si="1"/>
        <v>1589.45</v>
      </c>
      <c r="CO49" s="8">
        <f t="shared" si="1"/>
        <v>1564.1</v>
      </c>
      <c r="CP49" s="8">
        <f t="shared" si="1"/>
        <v>1451.8</v>
      </c>
      <c r="CQ49" s="8">
        <f t="shared" si="1"/>
        <v>1337.9</v>
      </c>
      <c r="CR49" s="8">
        <f t="shared" si="1"/>
        <v>1174.4000000000001</v>
      </c>
      <c r="CS49" s="8">
        <f t="shared" si="1"/>
        <v>1026.2</v>
      </c>
      <c r="CT49" s="8">
        <f t="shared" si="1"/>
        <v>847.2</v>
      </c>
      <c r="CU49" s="8">
        <f t="shared" si="1"/>
        <v>694.85</v>
      </c>
      <c r="CV49" s="8">
        <f t="shared" si="1"/>
        <v>538.95000000000005</v>
      </c>
      <c r="CW49" s="8">
        <f t="shared" si="1"/>
        <v>399.9</v>
      </c>
      <c r="CX49" s="8">
        <f t="shared" si="1"/>
        <v>273.5</v>
      </c>
      <c r="CY49" s="8">
        <f t="shared" si="1"/>
        <v>194.65</v>
      </c>
      <c r="CZ49" s="8">
        <f t="shared" si="1"/>
        <v>127.75</v>
      </c>
    </row>
    <row r="50" spans="1:109" s="8" customFormat="1" x14ac:dyDescent="0.3">
      <c r="A50" s="9"/>
      <c r="B50" s="8" t="s">
        <v>23</v>
      </c>
      <c r="C50" s="8">
        <f>MEDIAN(C29:C48)</f>
        <v>130</v>
      </c>
      <c r="D50" s="8">
        <f t="shared" ref="D50:BO50" si="2">MEDIAN(D29:D48)</f>
        <v>25</v>
      </c>
      <c r="E50" s="8">
        <f t="shared" si="2"/>
        <v>10</v>
      </c>
      <c r="F50" s="8">
        <f t="shared" si="2"/>
        <v>6</v>
      </c>
      <c r="G50" s="8">
        <f t="shared" si="2"/>
        <v>4.5</v>
      </c>
      <c r="H50" s="8">
        <f t="shared" si="2"/>
        <v>5</v>
      </c>
      <c r="I50" s="8">
        <f t="shared" si="2"/>
        <v>6</v>
      </c>
      <c r="J50" s="8">
        <f t="shared" si="2"/>
        <v>4.5</v>
      </c>
      <c r="K50" s="8">
        <f t="shared" si="2"/>
        <v>3</v>
      </c>
      <c r="L50" s="8">
        <f t="shared" si="2"/>
        <v>4</v>
      </c>
      <c r="M50" s="8">
        <f t="shared" si="2"/>
        <v>6</v>
      </c>
      <c r="N50" s="8">
        <f t="shared" si="2"/>
        <v>4.5</v>
      </c>
      <c r="O50" s="8">
        <f t="shared" si="2"/>
        <v>5</v>
      </c>
      <c r="P50" s="8">
        <f t="shared" si="2"/>
        <v>6</v>
      </c>
      <c r="Q50" s="8">
        <f t="shared" si="2"/>
        <v>7</v>
      </c>
      <c r="R50" s="8">
        <f t="shared" si="2"/>
        <v>10</v>
      </c>
      <c r="S50" s="8">
        <f t="shared" si="2"/>
        <v>14</v>
      </c>
      <c r="T50" s="8">
        <f t="shared" si="2"/>
        <v>17</v>
      </c>
      <c r="U50" s="8">
        <f t="shared" si="2"/>
        <v>23.5</v>
      </c>
      <c r="V50" s="8">
        <f t="shared" si="2"/>
        <v>25.5</v>
      </c>
      <c r="W50" s="8">
        <f t="shared" si="2"/>
        <v>28.5</v>
      </c>
      <c r="X50" s="8">
        <f t="shared" si="2"/>
        <v>28</v>
      </c>
      <c r="Y50" s="8">
        <f t="shared" si="2"/>
        <v>27.5</v>
      </c>
      <c r="Z50" s="8">
        <f t="shared" si="2"/>
        <v>29</v>
      </c>
      <c r="AA50" s="8">
        <f t="shared" si="2"/>
        <v>28.5</v>
      </c>
      <c r="AB50" s="8">
        <f t="shared" si="2"/>
        <v>30.5</v>
      </c>
      <c r="AC50" s="8">
        <f t="shared" si="2"/>
        <v>32.5</v>
      </c>
      <c r="AD50" s="8">
        <f t="shared" si="2"/>
        <v>37.5</v>
      </c>
      <c r="AE50" s="8">
        <f t="shared" si="2"/>
        <v>35</v>
      </c>
      <c r="AF50" s="8">
        <f t="shared" si="2"/>
        <v>36.5</v>
      </c>
      <c r="AG50" s="8">
        <f t="shared" si="2"/>
        <v>33</v>
      </c>
      <c r="AH50" s="8">
        <f t="shared" si="2"/>
        <v>33.5</v>
      </c>
      <c r="AI50" s="8">
        <f t="shared" si="2"/>
        <v>38</v>
      </c>
      <c r="AJ50" s="8">
        <f t="shared" si="2"/>
        <v>39</v>
      </c>
      <c r="AK50" s="8">
        <f t="shared" si="2"/>
        <v>41.5</v>
      </c>
      <c r="AL50" s="8">
        <f t="shared" si="2"/>
        <v>43.5</v>
      </c>
      <c r="AM50" s="8">
        <f t="shared" si="2"/>
        <v>47.5</v>
      </c>
      <c r="AN50" s="8">
        <f t="shared" si="2"/>
        <v>49.5</v>
      </c>
      <c r="AO50" s="8">
        <f t="shared" si="2"/>
        <v>55</v>
      </c>
      <c r="AP50" s="8">
        <f t="shared" si="2"/>
        <v>56</v>
      </c>
      <c r="AQ50" s="8">
        <f t="shared" si="2"/>
        <v>57</v>
      </c>
      <c r="AR50" s="8">
        <f t="shared" si="2"/>
        <v>68</v>
      </c>
      <c r="AS50" s="8">
        <f t="shared" si="2"/>
        <v>69.5</v>
      </c>
      <c r="AT50" s="8">
        <f t="shared" si="2"/>
        <v>75</v>
      </c>
      <c r="AU50" s="8">
        <f t="shared" si="2"/>
        <v>85.5</v>
      </c>
      <c r="AV50" s="8">
        <f t="shared" si="2"/>
        <v>93</v>
      </c>
      <c r="AW50" s="8">
        <f t="shared" si="2"/>
        <v>101</v>
      </c>
      <c r="AX50" s="8">
        <f t="shared" si="2"/>
        <v>104.5</v>
      </c>
      <c r="AY50" s="8">
        <f t="shared" si="2"/>
        <v>121.5</v>
      </c>
      <c r="AZ50" s="8">
        <f t="shared" si="2"/>
        <v>138</v>
      </c>
      <c r="BA50" s="8">
        <f t="shared" si="2"/>
        <v>143.5</v>
      </c>
      <c r="BB50" s="8">
        <f t="shared" si="2"/>
        <v>155</v>
      </c>
      <c r="BC50" s="8">
        <f t="shared" si="2"/>
        <v>170</v>
      </c>
      <c r="BD50" s="8">
        <f t="shared" si="2"/>
        <v>190.5</v>
      </c>
      <c r="BE50" s="8">
        <f t="shared" si="2"/>
        <v>202.5</v>
      </c>
      <c r="BF50" s="8">
        <f t="shared" si="2"/>
        <v>222</v>
      </c>
      <c r="BG50" s="8">
        <f t="shared" si="2"/>
        <v>241</v>
      </c>
      <c r="BH50" s="8">
        <f t="shared" si="2"/>
        <v>253.5</v>
      </c>
      <c r="BI50" s="8">
        <f t="shared" si="2"/>
        <v>275.5</v>
      </c>
      <c r="BJ50" s="8">
        <f t="shared" si="2"/>
        <v>316</v>
      </c>
      <c r="BK50" s="8">
        <f t="shared" si="2"/>
        <v>340.5</v>
      </c>
      <c r="BL50" s="8">
        <f t="shared" si="2"/>
        <v>352</v>
      </c>
      <c r="BM50" s="8">
        <f t="shared" si="2"/>
        <v>376.5</v>
      </c>
      <c r="BN50" s="8">
        <f t="shared" si="2"/>
        <v>406.5</v>
      </c>
      <c r="BO50" s="8">
        <f t="shared" si="2"/>
        <v>422.5</v>
      </c>
      <c r="BP50" s="8">
        <f t="shared" ref="BP50:CZ50" si="3">MEDIAN(BP29:BP48)</f>
        <v>460</v>
      </c>
      <c r="BQ50" s="8">
        <f t="shared" si="3"/>
        <v>490</v>
      </c>
      <c r="BR50" s="8">
        <f t="shared" si="3"/>
        <v>533</v>
      </c>
      <c r="BS50" s="8">
        <f t="shared" si="3"/>
        <v>544</v>
      </c>
      <c r="BT50" s="8">
        <f t="shared" si="3"/>
        <v>583.5</v>
      </c>
      <c r="BU50" s="8">
        <f t="shared" si="3"/>
        <v>579.5</v>
      </c>
      <c r="BV50" s="8">
        <f t="shared" si="3"/>
        <v>629</v>
      </c>
      <c r="BW50" s="8">
        <f t="shared" si="3"/>
        <v>687</v>
      </c>
      <c r="BX50" s="8">
        <f t="shared" si="3"/>
        <v>699.5</v>
      </c>
      <c r="BY50" s="8">
        <f t="shared" si="3"/>
        <v>748</v>
      </c>
      <c r="BZ50" s="8">
        <f t="shared" si="3"/>
        <v>824</v>
      </c>
      <c r="CA50" s="8">
        <f t="shared" si="3"/>
        <v>863.5</v>
      </c>
      <c r="CB50" s="8">
        <f t="shared" si="3"/>
        <v>920.5</v>
      </c>
      <c r="CC50" s="8">
        <f t="shared" si="3"/>
        <v>1001</v>
      </c>
      <c r="CD50" s="8">
        <f t="shared" si="3"/>
        <v>1066.5</v>
      </c>
      <c r="CE50" s="8">
        <f t="shared" si="3"/>
        <v>1125.5</v>
      </c>
      <c r="CF50" s="8">
        <f t="shared" si="3"/>
        <v>1215.5</v>
      </c>
      <c r="CG50" s="8">
        <f t="shared" si="3"/>
        <v>1316.5</v>
      </c>
      <c r="CH50" s="8">
        <f t="shared" si="3"/>
        <v>1403</v>
      </c>
      <c r="CI50" s="8">
        <f t="shared" si="3"/>
        <v>1489</v>
      </c>
      <c r="CJ50" s="8">
        <f t="shared" si="3"/>
        <v>1535</v>
      </c>
      <c r="CK50" s="8">
        <f t="shared" si="3"/>
        <v>1575</v>
      </c>
      <c r="CL50" s="8">
        <f t="shared" si="3"/>
        <v>1622</v>
      </c>
      <c r="CM50" s="8">
        <f t="shared" si="3"/>
        <v>1611</v>
      </c>
      <c r="CN50" s="8">
        <f t="shared" si="3"/>
        <v>1588</v>
      </c>
      <c r="CO50" s="8">
        <f t="shared" si="3"/>
        <v>1551.5</v>
      </c>
      <c r="CP50" s="8">
        <f t="shared" si="3"/>
        <v>1440</v>
      </c>
      <c r="CQ50" s="8">
        <f t="shared" si="3"/>
        <v>1333.5</v>
      </c>
      <c r="CR50" s="8">
        <f t="shared" si="3"/>
        <v>1206.5</v>
      </c>
      <c r="CS50" s="8">
        <f t="shared" si="3"/>
        <v>1051</v>
      </c>
      <c r="CT50" s="8">
        <f t="shared" si="3"/>
        <v>846</v>
      </c>
      <c r="CU50" s="8">
        <f t="shared" si="3"/>
        <v>687.5</v>
      </c>
      <c r="CV50" s="8">
        <f t="shared" si="3"/>
        <v>517</v>
      </c>
      <c r="CW50" s="8">
        <f t="shared" si="3"/>
        <v>394</v>
      </c>
      <c r="CX50" s="8">
        <f t="shared" si="3"/>
        <v>256.5</v>
      </c>
      <c r="CY50" s="8">
        <f t="shared" si="3"/>
        <v>189.5</v>
      </c>
      <c r="CZ50" s="8">
        <f t="shared" si="3"/>
        <v>127.5</v>
      </c>
    </row>
    <row r="51" spans="1:109" s="8" customFormat="1" x14ac:dyDescent="0.3">
      <c r="A51" s="9"/>
    </row>
    <row r="52" spans="1:109" s="8" customFormat="1" x14ac:dyDescent="0.3">
      <c r="A52" s="9"/>
      <c r="C52" s="8" t="s">
        <v>35</v>
      </c>
    </row>
    <row r="53" spans="1:109" s="5" customFormat="1" x14ac:dyDescent="0.3">
      <c r="A53" s="4"/>
      <c r="B53" s="5" t="s">
        <v>24</v>
      </c>
      <c r="C53" s="10">
        <v>0</v>
      </c>
      <c r="D53" s="10">
        <v>1</v>
      </c>
      <c r="E53" s="10">
        <v>2</v>
      </c>
      <c r="F53" s="10">
        <v>3</v>
      </c>
      <c r="G53" s="10">
        <v>4</v>
      </c>
      <c r="H53" s="10">
        <v>5</v>
      </c>
      <c r="I53" s="10">
        <v>6</v>
      </c>
      <c r="J53" s="10">
        <v>7</v>
      </c>
      <c r="K53" s="10">
        <v>8</v>
      </c>
      <c r="L53" s="10">
        <v>9</v>
      </c>
      <c r="M53" s="10">
        <v>10</v>
      </c>
      <c r="N53" s="10">
        <v>11</v>
      </c>
      <c r="O53" s="10">
        <v>12</v>
      </c>
      <c r="P53" s="10">
        <v>13</v>
      </c>
      <c r="Q53" s="10">
        <v>14</v>
      </c>
      <c r="R53" s="10">
        <v>15</v>
      </c>
      <c r="S53" s="10">
        <v>16</v>
      </c>
      <c r="T53" s="10">
        <v>17</v>
      </c>
      <c r="U53" s="10">
        <v>18</v>
      </c>
      <c r="V53" s="10">
        <v>19</v>
      </c>
      <c r="W53" s="10">
        <v>20</v>
      </c>
      <c r="X53" s="10">
        <v>21</v>
      </c>
      <c r="Y53" s="10">
        <v>22</v>
      </c>
      <c r="Z53" s="10">
        <v>23</v>
      </c>
      <c r="AA53" s="10">
        <v>24</v>
      </c>
      <c r="AB53" s="10">
        <v>25</v>
      </c>
      <c r="AC53" s="10">
        <v>26</v>
      </c>
      <c r="AD53" s="10">
        <v>27</v>
      </c>
      <c r="AE53" s="10">
        <v>28</v>
      </c>
      <c r="AF53" s="10">
        <v>29</v>
      </c>
      <c r="AG53" s="10">
        <v>30</v>
      </c>
      <c r="AH53" s="10">
        <v>31</v>
      </c>
      <c r="AI53" s="10">
        <v>32</v>
      </c>
      <c r="AJ53" s="10">
        <v>33</v>
      </c>
      <c r="AK53" s="10">
        <v>34</v>
      </c>
      <c r="AL53" s="10">
        <v>35</v>
      </c>
      <c r="AM53" s="10">
        <v>36</v>
      </c>
      <c r="AN53" s="10">
        <v>37</v>
      </c>
      <c r="AO53" s="10">
        <v>38</v>
      </c>
      <c r="AP53" s="10">
        <v>39</v>
      </c>
      <c r="AQ53" s="10">
        <v>40</v>
      </c>
      <c r="AR53" s="10">
        <v>41</v>
      </c>
      <c r="AS53" s="10">
        <v>42</v>
      </c>
      <c r="AT53" s="10">
        <v>43</v>
      </c>
      <c r="AU53" s="10">
        <v>44</v>
      </c>
      <c r="AV53" s="10">
        <v>45</v>
      </c>
      <c r="AW53" s="10">
        <v>46</v>
      </c>
      <c r="AX53" s="10">
        <v>47</v>
      </c>
      <c r="AY53" s="10">
        <v>48</v>
      </c>
      <c r="AZ53" s="10">
        <v>49</v>
      </c>
      <c r="BA53" s="10">
        <v>50</v>
      </c>
      <c r="BB53" s="10">
        <v>51</v>
      </c>
      <c r="BC53" s="10">
        <v>52</v>
      </c>
      <c r="BD53" s="10">
        <v>53</v>
      </c>
      <c r="BE53" s="10">
        <v>54</v>
      </c>
      <c r="BF53" s="10">
        <v>55</v>
      </c>
      <c r="BG53" s="10">
        <v>56</v>
      </c>
      <c r="BH53" s="10">
        <v>57</v>
      </c>
      <c r="BI53" s="10">
        <v>58</v>
      </c>
      <c r="BJ53" s="10">
        <v>59</v>
      </c>
      <c r="BK53" s="10">
        <v>60</v>
      </c>
      <c r="BL53" s="10">
        <v>61</v>
      </c>
      <c r="BM53" s="10">
        <v>62</v>
      </c>
      <c r="BN53" s="10">
        <v>63</v>
      </c>
      <c r="BO53" s="10">
        <v>64</v>
      </c>
      <c r="BP53" s="10">
        <v>65</v>
      </c>
      <c r="BQ53" s="10">
        <v>66</v>
      </c>
      <c r="BR53" s="10">
        <v>67</v>
      </c>
      <c r="BS53" s="10">
        <v>68</v>
      </c>
      <c r="BT53" s="10">
        <v>69</v>
      </c>
      <c r="BU53" s="10">
        <v>70</v>
      </c>
      <c r="BV53" s="10">
        <v>71</v>
      </c>
      <c r="BW53" s="10">
        <v>72</v>
      </c>
      <c r="BX53" s="10">
        <v>73</v>
      </c>
      <c r="BY53" s="10">
        <v>74</v>
      </c>
      <c r="BZ53" s="10">
        <v>75</v>
      </c>
      <c r="CA53" s="10">
        <v>76</v>
      </c>
      <c r="CB53" s="10">
        <v>77</v>
      </c>
      <c r="CC53" s="10">
        <v>78</v>
      </c>
      <c r="CD53" s="10">
        <v>79</v>
      </c>
      <c r="CE53" s="10">
        <v>80</v>
      </c>
      <c r="CF53" s="10">
        <v>81</v>
      </c>
      <c r="CG53" s="10">
        <v>82</v>
      </c>
      <c r="CH53" s="10">
        <v>83</v>
      </c>
      <c r="CI53" s="10">
        <v>84</v>
      </c>
      <c r="CJ53" s="10">
        <v>85</v>
      </c>
      <c r="CK53" s="10">
        <v>86</v>
      </c>
      <c r="CL53" s="10">
        <v>87</v>
      </c>
      <c r="CM53" s="10">
        <v>88</v>
      </c>
      <c r="CN53" s="10">
        <v>89</v>
      </c>
      <c r="CO53" s="10">
        <v>90</v>
      </c>
      <c r="CP53" s="10">
        <v>91</v>
      </c>
      <c r="CQ53" s="10">
        <v>92</v>
      </c>
      <c r="CR53" s="10">
        <v>93</v>
      </c>
      <c r="CS53" s="10">
        <v>94</v>
      </c>
      <c r="CT53" s="10">
        <v>95</v>
      </c>
      <c r="CU53" s="10">
        <v>96</v>
      </c>
      <c r="CV53" s="10">
        <v>97</v>
      </c>
      <c r="CW53" s="10">
        <v>98</v>
      </c>
      <c r="CX53" s="10">
        <v>99</v>
      </c>
      <c r="CY53" s="10">
        <v>100</v>
      </c>
      <c r="CZ53" s="10">
        <v>101</v>
      </c>
    </row>
    <row r="54" spans="1:109" x14ac:dyDescent="0.3">
      <c r="A54" s="10">
        <v>2003</v>
      </c>
      <c r="C54" s="8">
        <v>267</v>
      </c>
      <c r="D54" s="8">
        <v>620</v>
      </c>
      <c r="E54" s="8">
        <v>336</v>
      </c>
      <c r="F54" s="8">
        <v>147</v>
      </c>
      <c r="G54" s="8">
        <v>147</v>
      </c>
      <c r="H54" s="8">
        <v>153</v>
      </c>
      <c r="I54" s="8">
        <v>211</v>
      </c>
      <c r="J54" s="8">
        <v>208</v>
      </c>
      <c r="K54" s="8">
        <v>210</v>
      </c>
      <c r="L54" s="8">
        <v>216</v>
      </c>
      <c r="M54" s="8">
        <v>169</v>
      </c>
      <c r="N54" s="8">
        <v>234</v>
      </c>
      <c r="O54" s="8">
        <v>191</v>
      </c>
      <c r="P54" s="8">
        <v>209</v>
      </c>
      <c r="Q54" s="8">
        <v>242</v>
      </c>
      <c r="R54" s="8">
        <v>235</v>
      </c>
      <c r="S54" s="8">
        <v>287</v>
      </c>
      <c r="T54" s="8">
        <v>330</v>
      </c>
      <c r="U54" s="8">
        <v>382</v>
      </c>
      <c r="V54" s="8">
        <v>402</v>
      </c>
      <c r="W54" s="8">
        <v>323</v>
      </c>
      <c r="X54" s="8">
        <v>370</v>
      </c>
      <c r="Y54" s="8">
        <v>278</v>
      </c>
      <c r="Z54" s="8">
        <v>417</v>
      </c>
      <c r="AA54" s="8">
        <v>403</v>
      </c>
      <c r="AB54" s="8">
        <v>481</v>
      </c>
      <c r="AC54" s="8">
        <v>562</v>
      </c>
      <c r="AD54" s="8">
        <v>396</v>
      </c>
      <c r="AE54" s="8">
        <v>476</v>
      </c>
      <c r="AF54" s="8">
        <v>347</v>
      </c>
      <c r="AG54" s="8">
        <v>318</v>
      </c>
      <c r="AH54" s="8">
        <v>274</v>
      </c>
      <c r="AI54" s="8">
        <v>218</v>
      </c>
      <c r="AJ54" s="8">
        <v>234</v>
      </c>
      <c r="AK54" s="8">
        <v>222</v>
      </c>
      <c r="AL54" s="8">
        <v>194</v>
      </c>
      <c r="AM54" s="8">
        <v>173</v>
      </c>
      <c r="AN54" s="8">
        <v>188</v>
      </c>
      <c r="AO54" s="8">
        <v>193</v>
      </c>
      <c r="AP54" s="8">
        <v>138</v>
      </c>
      <c r="AQ54" s="8">
        <v>96</v>
      </c>
      <c r="AR54" s="8">
        <v>121</v>
      </c>
      <c r="AS54" s="8">
        <v>84</v>
      </c>
      <c r="AT54" s="8">
        <v>80</v>
      </c>
      <c r="AU54" s="8">
        <v>97</v>
      </c>
      <c r="AV54" s="8">
        <v>-1</v>
      </c>
      <c r="AW54" s="8">
        <v>50</v>
      </c>
      <c r="AX54" s="8">
        <v>55</v>
      </c>
      <c r="AY54" s="8">
        <v>41</v>
      </c>
      <c r="AZ54" s="8">
        <v>49</v>
      </c>
      <c r="BA54" s="8">
        <v>16</v>
      </c>
      <c r="BB54" s="8">
        <v>-3</v>
      </c>
      <c r="BC54" s="8">
        <v>-27</v>
      </c>
      <c r="BD54" s="8">
        <v>-12</v>
      </c>
      <c r="BE54" s="8">
        <v>-31</v>
      </c>
      <c r="BF54" s="8">
        <v>-3</v>
      </c>
      <c r="BG54" s="8">
        <v>-22</v>
      </c>
      <c r="BH54" s="8">
        <v>-45</v>
      </c>
      <c r="BI54" s="8">
        <v>-37</v>
      </c>
      <c r="BJ54" s="8">
        <v>-46</v>
      </c>
      <c r="BK54" s="8">
        <v>-32</v>
      </c>
      <c r="BL54" s="8">
        <v>-42</v>
      </c>
      <c r="BM54" s="8">
        <v>-87</v>
      </c>
      <c r="BN54" s="8">
        <v>-38</v>
      </c>
      <c r="BO54" s="8">
        <v>-45</v>
      </c>
      <c r="BP54" s="8">
        <v>-50</v>
      </c>
      <c r="BQ54" s="8">
        <v>-52</v>
      </c>
      <c r="BR54" s="8">
        <v>-76</v>
      </c>
      <c r="BS54" s="8">
        <v>-39</v>
      </c>
      <c r="BT54" s="8">
        <v>-25</v>
      </c>
      <c r="BU54" s="8">
        <v>-26</v>
      </c>
      <c r="BV54" s="8">
        <v>-21</v>
      </c>
      <c r="BW54" s="8">
        <v>-22</v>
      </c>
      <c r="BX54" s="8">
        <v>-7</v>
      </c>
      <c r="BY54" s="8">
        <v>-10</v>
      </c>
      <c r="BZ54" s="8">
        <v>2</v>
      </c>
      <c r="CA54" s="8">
        <v>-16</v>
      </c>
      <c r="CB54" s="8">
        <v>-7</v>
      </c>
      <c r="CC54" s="8">
        <v>9</v>
      </c>
      <c r="CD54" s="8">
        <v>-3</v>
      </c>
      <c r="CE54" s="8">
        <v>1</v>
      </c>
      <c r="CF54" s="8">
        <v>-5</v>
      </c>
      <c r="CG54" s="8">
        <v>-3</v>
      </c>
      <c r="CH54" s="8">
        <v>0</v>
      </c>
      <c r="CI54" s="8">
        <v>1</v>
      </c>
      <c r="CJ54" s="8">
        <v>-2</v>
      </c>
      <c r="CK54" s="8">
        <v>1</v>
      </c>
      <c r="CL54" s="8">
        <v>-2</v>
      </c>
      <c r="CM54" s="8">
        <v>-2</v>
      </c>
      <c r="CN54" s="8">
        <v>1</v>
      </c>
      <c r="CO54" s="8">
        <v>2</v>
      </c>
      <c r="CP54" s="8">
        <v>0</v>
      </c>
      <c r="CQ54" s="8">
        <v>-2</v>
      </c>
      <c r="CR54" s="8">
        <v>-1</v>
      </c>
      <c r="CS54" s="8">
        <v>0</v>
      </c>
      <c r="CT54" s="8">
        <v>1</v>
      </c>
      <c r="CU54" s="8">
        <v>0</v>
      </c>
      <c r="CV54" s="8">
        <v>0</v>
      </c>
      <c r="CW54" s="8">
        <v>0</v>
      </c>
      <c r="CX54" s="8">
        <v>1</v>
      </c>
      <c r="CY54" s="8">
        <v>1</v>
      </c>
      <c r="CZ54" s="8">
        <v>0</v>
      </c>
      <c r="DA54" s="10"/>
      <c r="DB54" s="10"/>
      <c r="DC54" s="10"/>
      <c r="DD54" s="10"/>
      <c r="DE54" s="10"/>
    </row>
    <row r="55" spans="1:109" x14ac:dyDescent="0.3">
      <c r="A55" s="10">
        <v>2004</v>
      </c>
      <c r="C55" s="8">
        <v>288</v>
      </c>
      <c r="D55" s="8">
        <v>794</v>
      </c>
      <c r="E55" s="8">
        <v>369</v>
      </c>
      <c r="F55" s="8">
        <v>168</v>
      </c>
      <c r="G55" s="8">
        <v>159</v>
      </c>
      <c r="H55" s="8">
        <v>180</v>
      </c>
      <c r="I55" s="8">
        <v>141</v>
      </c>
      <c r="J55" s="8">
        <v>180</v>
      </c>
      <c r="K55" s="8">
        <v>191</v>
      </c>
      <c r="L55" s="8">
        <v>213</v>
      </c>
      <c r="M55" s="8">
        <v>178</v>
      </c>
      <c r="N55" s="8">
        <v>195</v>
      </c>
      <c r="O55" s="8">
        <v>176</v>
      </c>
      <c r="P55" s="8">
        <v>204</v>
      </c>
      <c r="Q55" s="8">
        <v>184</v>
      </c>
      <c r="R55" s="8">
        <v>184</v>
      </c>
      <c r="S55" s="8">
        <v>315</v>
      </c>
      <c r="T55" s="8">
        <v>329</v>
      </c>
      <c r="U55" s="8">
        <v>303</v>
      </c>
      <c r="V55" s="8">
        <v>331</v>
      </c>
      <c r="W55" s="8">
        <v>332</v>
      </c>
      <c r="X55" s="8">
        <v>241</v>
      </c>
      <c r="Y55" s="8">
        <v>356</v>
      </c>
      <c r="Z55" s="8">
        <v>495</v>
      </c>
      <c r="AA55" s="8">
        <v>510</v>
      </c>
      <c r="AB55" s="8">
        <v>583</v>
      </c>
      <c r="AC55" s="8">
        <v>554</v>
      </c>
      <c r="AD55" s="8">
        <v>533</v>
      </c>
      <c r="AE55" s="8">
        <v>495</v>
      </c>
      <c r="AF55" s="8">
        <v>519</v>
      </c>
      <c r="AG55" s="8">
        <v>519</v>
      </c>
      <c r="AH55" s="8">
        <v>327</v>
      </c>
      <c r="AI55" s="8">
        <v>370</v>
      </c>
      <c r="AJ55" s="8">
        <v>321</v>
      </c>
      <c r="AK55" s="8">
        <v>309</v>
      </c>
      <c r="AL55" s="8">
        <v>235</v>
      </c>
      <c r="AM55" s="8">
        <v>268</v>
      </c>
      <c r="AN55" s="8">
        <v>163</v>
      </c>
      <c r="AO55" s="8">
        <v>180</v>
      </c>
      <c r="AP55" s="8">
        <v>151</v>
      </c>
      <c r="AQ55" s="8">
        <v>170</v>
      </c>
      <c r="AR55" s="8">
        <v>107</v>
      </c>
      <c r="AS55" s="8">
        <v>99</v>
      </c>
      <c r="AT55" s="8">
        <v>131</v>
      </c>
      <c r="AU55" s="8">
        <v>106</v>
      </c>
      <c r="AV55" s="8">
        <v>87</v>
      </c>
      <c r="AW55" s="8">
        <v>89</v>
      </c>
      <c r="AX55" s="8">
        <v>94</v>
      </c>
      <c r="AY55" s="8">
        <v>74</v>
      </c>
      <c r="AZ55" s="8">
        <v>55</v>
      </c>
      <c r="BA55" s="8">
        <v>55</v>
      </c>
      <c r="BB55" s="8">
        <v>24</v>
      </c>
      <c r="BC55" s="8">
        <v>-13</v>
      </c>
      <c r="BD55" s="8">
        <v>6</v>
      </c>
      <c r="BE55" s="8">
        <v>1</v>
      </c>
      <c r="BF55" s="8">
        <v>8</v>
      </c>
      <c r="BG55" s="8">
        <v>-12</v>
      </c>
      <c r="BH55" s="8">
        <v>-38</v>
      </c>
      <c r="BI55" s="8">
        <v>-47</v>
      </c>
      <c r="BJ55" s="8">
        <v>-68</v>
      </c>
      <c r="BK55" s="8">
        <v>-23</v>
      </c>
      <c r="BL55" s="8">
        <v>-38</v>
      </c>
      <c r="BM55" s="8">
        <v>-36</v>
      </c>
      <c r="BN55" s="8">
        <v>-24</v>
      </c>
      <c r="BO55" s="8">
        <v>-6</v>
      </c>
      <c r="BP55" s="8">
        <v>-10</v>
      </c>
      <c r="BQ55" s="8">
        <v>-27</v>
      </c>
      <c r="BR55" s="8">
        <v>-38</v>
      </c>
      <c r="BS55" s="8">
        <v>-20</v>
      </c>
      <c r="BT55" s="8">
        <v>-23</v>
      </c>
      <c r="BU55" s="8">
        <v>-18</v>
      </c>
      <c r="BV55" s="8">
        <v>-8</v>
      </c>
      <c r="BW55" s="8">
        <v>-9</v>
      </c>
      <c r="BX55" s="8">
        <v>-3</v>
      </c>
      <c r="BY55" s="8">
        <v>-6</v>
      </c>
      <c r="BZ55" s="8">
        <v>-7</v>
      </c>
      <c r="CA55" s="8">
        <v>2</v>
      </c>
      <c r="CB55" s="8">
        <v>8</v>
      </c>
      <c r="CC55" s="8">
        <v>-12</v>
      </c>
      <c r="CD55" s="8">
        <v>-6</v>
      </c>
      <c r="CE55" s="8">
        <v>-7</v>
      </c>
      <c r="CF55" s="8">
        <v>10</v>
      </c>
      <c r="CG55" s="8">
        <v>-7</v>
      </c>
      <c r="CH55" s="8">
        <v>7</v>
      </c>
      <c r="CI55" s="8">
        <v>4</v>
      </c>
      <c r="CJ55" s="8">
        <v>-3</v>
      </c>
      <c r="CK55" s="8">
        <v>3</v>
      </c>
      <c r="CL55" s="8">
        <v>-3</v>
      </c>
      <c r="CM55" s="8">
        <v>2</v>
      </c>
      <c r="CN55" s="8">
        <v>2</v>
      </c>
      <c r="CO55" s="8">
        <v>-2</v>
      </c>
      <c r="CP55" s="8">
        <v>-1</v>
      </c>
      <c r="CQ55" s="8">
        <v>0</v>
      </c>
      <c r="CR55" s="8">
        <v>-1</v>
      </c>
      <c r="CS55" s="8">
        <v>-1</v>
      </c>
      <c r="CT55" s="8">
        <v>1</v>
      </c>
      <c r="CU55" s="8">
        <v>-1</v>
      </c>
      <c r="CV55" s="8">
        <v>0</v>
      </c>
      <c r="CW55" s="8">
        <v>1</v>
      </c>
      <c r="CX55" s="8">
        <v>0</v>
      </c>
      <c r="CY55" s="8">
        <v>0</v>
      </c>
      <c r="CZ55" s="8">
        <v>-1</v>
      </c>
      <c r="DA55" s="10"/>
      <c r="DB55" s="10"/>
      <c r="DC55" s="10"/>
      <c r="DD55" s="10"/>
      <c r="DE55" s="10"/>
    </row>
    <row r="56" spans="1:109" x14ac:dyDescent="0.3">
      <c r="A56" s="10">
        <v>2005</v>
      </c>
      <c r="C56" s="8">
        <v>385</v>
      </c>
      <c r="D56" s="8">
        <v>715</v>
      </c>
      <c r="E56" s="8">
        <v>455</v>
      </c>
      <c r="F56" s="8">
        <v>186</v>
      </c>
      <c r="G56" s="8">
        <v>218</v>
      </c>
      <c r="H56" s="8">
        <v>203</v>
      </c>
      <c r="I56" s="8">
        <v>241</v>
      </c>
      <c r="J56" s="8">
        <v>267</v>
      </c>
      <c r="K56" s="8">
        <v>273</v>
      </c>
      <c r="L56" s="8">
        <v>279</v>
      </c>
      <c r="M56" s="8">
        <v>280</v>
      </c>
      <c r="N56" s="8">
        <v>260</v>
      </c>
      <c r="O56" s="8">
        <v>230</v>
      </c>
      <c r="P56" s="8">
        <v>224</v>
      </c>
      <c r="Q56" s="8">
        <v>254</v>
      </c>
      <c r="R56" s="8">
        <v>258</v>
      </c>
      <c r="S56" s="8">
        <v>247</v>
      </c>
      <c r="T56" s="8">
        <v>290</v>
      </c>
      <c r="U56" s="8">
        <v>280</v>
      </c>
      <c r="V56" s="8">
        <v>327</v>
      </c>
      <c r="W56" s="8">
        <v>373</v>
      </c>
      <c r="X56" s="8">
        <v>327</v>
      </c>
      <c r="Y56" s="8">
        <v>485</v>
      </c>
      <c r="Z56" s="8">
        <v>636</v>
      </c>
      <c r="AA56" s="8">
        <v>580</v>
      </c>
      <c r="AB56" s="8">
        <v>722</v>
      </c>
      <c r="AC56" s="8">
        <v>802</v>
      </c>
      <c r="AD56" s="8">
        <v>746</v>
      </c>
      <c r="AE56" s="8">
        <v>730</v>
      </c>
      <c r="AF56" s="8">
        <v>732</v>
      </c>
      <c r="AG56" s="8">
        <v>673</v>
      </c>
      <c r="AH56" s="8">
        <v>542</v>
      </c>
      <c r="AI56" s="8">
        <v>536</v>
      </c>
      <c r="AJ56" s="8">
        <v>571</v>
      </c>
      <c r="AK56" s="8">
        <v>491</v>
      </c>
      <c r="AL56" s="8">
        <v>472</v>
      </c>
      <c r="AM56" s="8">
        <v>358</v>
      </c>
      <c r="AN56" s="8">
        <v>392</v>
      </c>
      <c r="AO56" s="8">
        <v>328</v>
      </c>
      <c r="AP56" s="8">
        <v>263</v>
      </c>
      <c r="AQ56" s="8">
        <v>234</v>
      </c>
      <c r="AR56" s="8">
        <v>221</v>
      </c>
      <c r="AS56" s="8">
        <v>250</v>
      </c>
      <c r="AT56" s="8">
        <v>211</v>
      </c>
      <c r="AU56" s="8">
        <v>175</v>
      </c>
      <c r="AV56" s="8">
        <v>195</v>
      </c>
      <c r="AW56" s="8">
        <v>134</v>
      </c>
      <c r="AX56" s="8">
        <v>157</v>
      </c>
      <c r="AY56" s="8">
        <v>83</v>
      </c>
      <c r="AZ56" s="8">
        <v>60</v>
      </c>
      <c r="BA56" s="8">
        <v>75</v>
      </c>
      <c r="BB56" s="8">
        <v>52</v>
      </c>
      <c r="BC56" s="8">
        <v>44</v>
      </c>
      <c r="BD56" s="8">
        <v>39</v>
      </c>
      <c r="BE56" s="8">
        <v>21</v>
      </c>
      <c r="BF56" s="8">
        <v>13</v>
      </c>
      <c r="BG56" s="8">
        <v>-9</v>
      </c>
      <c r="BH56" s="8">
        <v>-8</v>
      </c>
      <c r="BI56" s="8">
        <v>-27</v>
      </c>
      <c r="BJ56" s="8">
        <v>-18</v>
      </c>
      <c r="BK56" s="8">
        <v>5</v>
      </c>
      <c r="BL56" s="8">
        <v>-30</v>
      </c>
      <c r="BM56" s="8">
        <v>-48</v>
      </c>
      <c r="BN56" s="8">
        <v>-34</v>
      </c>
      <c r="BO56" s="8">
        <v>-20</v>
      </c>
      <c r="BP56" s="8">
        <v>-14</v>
      </c>
      <c r="BQ56" s="8">
        <v>-5</v>
      </c>
      <c r="BR56" s="8">
        <v>-14</v>
      </c>
      <c r="BS56" s="8">
        <v>-20</v>
      </c>
      <c r="BT56" s="8">
        <v>-5</v>
      </c>
      <c r="BU56" s="8">
        <v>-4</v>
      </c>
      <c r="BV56" s="8">
        <v>-15</v>
      </c>
      <c r="BW56" s="8">
        <v>0</v>
      </c>
      <c r="BX56" s="8">
        <v>11</v>
      </c>
      <c r="BY56" s="8">
        <v>2</v>
      </c>
      <c r="BZ56" s="8">
        <v>6</v>
      </c>
      <c r="CA56" s="8">
        <v>3</v>
      </c>
      <c r="CB56" s="8">
        <v>3</v>
      </c>
      <c r="CC56" s="8">
        <v>10</v>
      </c>
      <c r="CD56" s="8">
        <v>10</v>
      </c>
      <c r="CE56" s="8">
        <v>6</v>
      </c>
      <c r="CF56" s="8">
        <v>7</v>
      </c>
      <c r="CG56" s="8">
        <v>-4</v>
      </c>
      <c r="CH56" s="8">
        <v>5</v>
      </c>
      <c r="CI56" s="8">
        <v>3</v>
      </c>
      <c r="CJ56" s="8">
        <v>5</v>
      </c>
      <c r="CK56" s="8">
        <v>3</v>
      </c>
      <c r="CL56" s="8">
        <v>0</v>
      </c>
      <c r="CM56" s="8">
        <v>2</v>
      </c>
      <c r="CN56" s="8">
        <v>5</v>
      </c>
      <c r="CO56" s="8">
        <v>3</v>
      </c>
      <c r="CP56" s="8">
        <v>-1</v>
      </c>
      <c r="CQ56" s="8">
        <v>3</v>
      </c>
      <c r="CR56" s="8">
        <v>-2</v>
      </c>
      <c r="CS56" s="8">
        <v>0</v>
      </c>
      <c r="CT56" s="8">
        <v>-1</v>
      </c>
      <c r="CU56" s="8">
        <v>-1</v>
      </c>
      <c r="CV56" s="8">
        <v>-1</v>
      </c>
      <c r="CW56" s="8">
        <v>0</v>
      </c>
      <c r="CX56" s="8">
        <v>0</v>
      </c>
      <c r="CY56" s="8">
        <v>0</v>
      </c>
      <c r="CZ56" s="8">
        <v>0</v>
      </c>
      <c r="DA56" s="10"/>
      <c r="DB56" s="10"/>
      <c r="DC56" s="10"/>
      <c r="DD56" s="10"/>
      <c r="DE56" s="10"/>
    </row>
    <row r="57" spans="1:109" x14ac:dyDescent="0.3">
      <c r="A57" s="10">
        <v>2006</v>
      </c>
      <c r="C57" s="8">
        <v>360</v>
      </c>
      <c r="D57" s="8">
        <v>750</v>
      </c>
      <c r="E57" s="8">
        <v>485</v>
      </c>
      <c r="F57" s="8">
        <v>249</v>
      </c>
      <c r="G57" s="8">
        <v>237</v>
      </c>
      <c r="H57" s="8">
        <v>270</v>
      </c>
      <c r="I57" s="8">
        <v>236</v>
      </c>
      <c r="J57" s="8">
        <v>250</v>
      </c>
      <c r="K57" s="8">
        <v>285</v>
      </c>
      <c r="L57" s="8">
        <v>213</v>
      </c>
      <c r="M57" s="8">
        <v>271</v>
      </c>
      <c r="N57" s="8">
        <v>223</v>
      </c>
      <c r="O57" s="8">
        <v>246</v>
      </c>
      <c r="P57" s="8">
        <v>275</v>
      </c>
      <c r="Q57" s="8">
        <v>195</v>
      </c>
      <c r="R57" s="8">
        <v>222</v>
      </c>
      <c r="S57" s="8">
        <v>288</v>
      </c>
      <c r="T57" s="8">
        <v>333</v>
      </c>
      <c r="U57" s="8">
        <v>282</v>
      </c>
      <c r="V57" s="8">
        <v>395</v>
      </c>
      <c r="W57" s="8">
        <v>383</v>
      </c>
      <c r="X57" s="8">
        <v>368</v>
      </c>
      <c r="Y57" s="8">
        <v>564</v>
      </c>
      <c r="Z57" s="8">
        <v>852</v>
      </c>
      <c r="AA57" s="8">
        <v>887</v>
      </c>
      <c r="AB57" s="8">
        <v>935</v>
      </c>
      <c r="AC57" s="8">
        <v>1131</v>
      </c>
      <c r="AD57" s="8">
        <v>1137</v>
      </c>
      <c r="AE57" s="8">
        <v>1067</v>
      </c>
      <c r="AF57" s="8">
        <v>1000</v>
      </c>
      <c r="AG57" s="8">
        <v>912</v>
      </c>
      <c r="AH57" s="8">
        <v>746</v>
      </c>
      <c r="AI57" s="8">
        <v>753</v>
      </c>
      <c r="AJ57" s="8">
        <v>605</v>
      </c>
      <c r="AK57" s="8">
        <v>609</v>
      </c>
      <c r="AL57" s="8">
        <v>595</v>
      </c>
      <c r="AM57" s="8">
        <v>551</v>
      </c>
      <c r="AN57" s="8">
        <v>529</v>
      </c>
      <c r="AO57" s="8">
        <v>437</v>
      </c>
      <c r="AP57" s="8">
        <v>421</v>
      </c>
      <c r="AQ57" s="8">
        <v>347</v>
      </c>
      <c r="AR57" s="8">
        <v>343</v>
      </c>
      <c r="AS57" s="8">
        <v>330</v>
      </c>
      <c r="AT57" s="8">
        <v>271</v>
      </c>
      <c r="AU57" s="8">
        <v>277</v>
      </c>
      <c r="AV57" s="8">
        <v>241</v>
      </c>
      <c r="AW57" s="8">
        <v>249</v>
      </c>
      <c r="AX57" s="8">
        <v>161</v>
      </c>
      <c r="AY57" s="8">
        <v>224</v>
      </c>
      <c r="AZ57" s="8">
        <v>171</v>
      </c>
      <c r="BA57" s="8">
        <v>173</v>
      </c>
      <c r="BB57" s="8">
        <v>119</v>
      </c>
      <c r="BC57" s="8">
        <v>108</v>
      </c>
      <c r="BD57" s="8">
        <v>80</v>
      </c>
      <c r="BE57" s="8">
        <v>68</v>
      </c>
      <c r="BF57" s="8">
        <v>61</v>
      </c>
      <c r="BG57" s="8">
        <v>34</v>
      </c>
      <c r="BH57" s="8">
        <v>22</v>
      </c>
      <c r="BI57" s="8">
        <v>-6</v>
      </c>
      <c r="BJ57" s="8">
        <v>-13</v>
      </c>
      <c r="BK57" s="8">
        <v>-3</v>
      </c>
      <c r="BL57" s="8">
        <v>-30</v>
      </c>
      <c r="BM57" s="8">
        <v>-24</v>
      </c>
      <c r="BN57" s="8">
        <v>-34</v>
      </c>
      <c r="BO57" s="8">
        <v>8</v>
      </c>
      <c r="BP57" s="8">
        <v>-28</v>
      </c>
      <c r="BQ57" s="8">
        <v>-19</v>
      </c>
      <c r="BR57" s="8">
        <v>-18</v>
      </c>
      <c r="BS57" s="8">
        <v>-19</v>
      </c>
      <c r="BT57" s="8">
        <v>-3</v>
      </c>
      <c r="BU57" s="8">
        <v>-1</v>
      </c>
      <c r="BV57" s="8">
        <v>-1</v>
      </c>
      <c r="BW57" s="8">
        <v>-4</v>
      </c>
      <c r="BX57" s="8">
        <v>4</v>
      </c>
      <c r="BY57" s="8">
        <v>-5</v>
      </c>
      <c r="BZ57" s="8">
        <v>3</v>
      </c>
      <c r="CA57" s="8">
        <v>6</v>
      </c>
      <c r="CB57" s="8">
        <v>7</v>
      </c>
      <c r="CC57" s="8">
        <v>1</v>
      </c>
      <c r="CD57" s="8">
        <v>0</v>
      </c>
      <c r="CE57" s="8">
        <v>1</v>
      </c>
      <c r="CF57" s="8">
        <v>1</v>
      </c>
      <c r="CG57" s="8">
        <v>2</v>
      </c>
      <c r="CH57" s="8">
        <v>10</v>
      </c>
      <c r="CI57" s="8">
        <v>7</v>
      </c>
      <c r="CJ57" s="8">
        <v>0</v>
      </c>
      <c r="CK57" s="8">
        <v>1</v>
      </c>
      <c r="CL57" s="8">
        <v>1</v>
      </c>
      <c r="CM57" s="8">
        <v>6</v>
      </c>
      <c r="CN57" s="8">
        <v>2</v>
      </c>
      <c r="CO57" s="8">
        <v>1</v>
      </c>
      <c r="CP57" s="8">
        <v>3</v>
      </c>
      <c r="CQ57" s="8">
        <v>4</v>
      </c>
      <c r="CR57" s="8">
        <v>-1</v>
      </c>
      <c r="CS57" s="8">
        <v>0</v>
      </c>
      <c r="CT57" s="8">
        <v>0</v>
      </c>
      <c r="CU57" s="8">
        <v>-1</v>
      </c>
      <c r="CV57" s="8">
        <v>1</v>
      </c>
      <c r="CW57" s="8">
        <v>0</v>
      </c>
      <c r="CX57" s="8">
        <v>1</v>
      </c>
      <c r="CY57" s="8">
        <v>0</v>
      </c>
      <c r="CZ57" s="8">
        <v>0</v>
      </c>
      <c r="DA57" s="10"/>
      <c r="DB57" s="10"/>
      <c r="DC57" s="10"/>
      <c r="DD57" s="10"/>
      <c r="DE57" s="10"/>
    </row>
    <row r="58" spans="1:109" x14ac:dyDescent="0.3">
      <c r="A58" s="10">
        <v>2007</v>
      </c>
      <c r="C58" s="8">
        <v>351</v>
      </c>
      <c r="D58" s="8">
        <v>841</v>
      </c>
      <c r="E58" s="8">
        <v>698</v>
      </c>
      <c r="F58" s="8">
        <v>459</v>
      </c>
      <c r="G58" s="8">
        <v>465</v>
      </c>
      <c r="H58" s="8">
        <v>368</v>
      </c>
      <c r="I58" s="8">
        <v>343</v>
      </c>
      <c r="J58" s="8">
        <v>374</v>
      </c>
      <c r="K58" s="8">
        <v>331</v>
      </c>
      <c r="L58" s="8">
        <v>360</v>
      </c>
      <c r="M58" s="8">
        <v>394</v>
      </c>
      <c r="N58" s="8">
        <v>351</v>
      </c>
      <c r="O58" s="8">
        <v>384</v>
      </c>
      <c r="P58" s="8">
        <v>324</v>
      </c>
      <c r="Q58" s="8">
        <v>318</v>
      </c>
      <c r="R58" s="8">
        <v>305</v>
      </c>
      <c r="S58" s="8">
        <v>343</v>
      </c>
      <c r="T58" s="8">
        <v>429</v>
      </c>
      <c r="U58" s="8">
        <v>327</v>
      </c>
      <c r="V58" s="8">
        <v>533</v>
      </c>
      <c r="W58" s="8">
        <v>645</v>
      </c>
      <c r="X58" s="8">
        <v>760</v>
      </c>
      <c r="Y58" s="8">
        <v>1056</v>
      </c>
      <c r="Z58" s="8">
        <v>1279</v>
      </c>
      <c r="AA58" s="8">
        <v>1548</v>
      </c>
      <c r="AB58" s="8">
        <v>1671</v>
      </c>
      <c r="AC58" s="8">
        <v>1935</v>
      </c>
      <c r="AD58" s="8">
        <v>1929</v>
      </c>
      <c r="AE58" s="8">
        <v>1814</v>
      </c>
      <c r="AF58" s="8">
        <v>1594</v>
      </c>
      <c r="AG58" s="8">
        <v>1498</v>
      </c>
      <c r="AH58" s="8">
        <v>1372</v>
      </c>
      <c r="AI58" s="8">
        <v>1283</v>
      </c>
      <c r="AJ58" s="8">
        <v>1171</v>
      </c>
      <c r="AK58" s="8">
        <v>1030</v>
      </c>
      <c r="AL58" s="8">
        <v>1001</v>
      </c>
      <c r="AM58" s="8">
        <v>965</v>
      </c>
      <c r="AN58" s="8">
        <v>890</v>
      </c>
      <c r="AO58" s="8">
        <v>754</v>
      </c>
      <c r="AP58" s="8">
        <v>725</v>
      </c>
      <c r="AQ58" s="8">
        <v>689</v>
      </c>
      <c r="AR58" s="8">
        <v>604</v>
      </c>
      <c r="AS58" s="8">
        <v>606</v>
      </c>
      <c r="AT58" s="8">
        <v>494</v>
      </c>
      <c r="AU58" s="8">
        <v>567</v>
      </c>
      <c r="AV58" s="8">
        <v>475</v>
      </c>
      <c r="AW58" s="8">
        <v>427</v>
      </c>
      <c r="AX58" s="8">
        <v>408</v>
      </c>
      <c r="AY58" s="8">
        <v>359</v>
      </c>
      <c r="AZ58" s="8">
        <v>296</v>
      </c>
      <c r="BA58" s="8">
        <v>305</v>
      </c>
      <c r="BB58" s="8">
        <v>279</v>
      </c>
      <c r="BC58" s="8">
        <v>210</v>
      </c>
      <c r="BD58" s="8">
        <v>183</v>
      </c>
      <c r="BE58" s="8">
        <v>145</v>
      </c>
      <c r="BF58" s="8">
        <v>110</v>
      </c>
      <c r="BG58" s="8">
        <v>81</v>
      </c>
      <c r="BH58" s="8">
        <v>66</v>
      </c>
      <c r="BI58" s="8">
        <v>52</v>
      </c>
      <c r="BJ58" s="8">
        <v>36</v>
      </c>
      <c r="BK58" s="8">
        <v>22</v>
      </c>
      <c r="BL58" s="8">
        <v>23</v>
      </c>
      <c r="BM58" s="8">
        <v>7</v>
      </c>
      <c r="BN58" s="8">
        <v>-22</v>
      </c>
      <c r="BO58" s="8">
        <v>-25</v>
      </c>
      <c r="BP58" s="8">
        <v>-15</v>
      </c>
      <c r="BQ58" s="8">
        <v>6</v>
      </c>
      <c r="BR58" s="8">
        <v>-22</v>
      </c>
      <c r="BS58" s="8">
        <v>-18</v>
      </c>
      <c r="BT58" s="8">
        <v>6</v>
      </c>
      <c r="BU58" s="8">
        <v>-3</v>
      </c>
      <c r="BV58" s="8">
        <v>13</v>
      </c>
      <c r="BW58" s="8">
        <v>1</v>
      </c>
      <c r="BX58" s="8">
        <v>9</v>
      </c>
      <c r="BY58" s="8">
        <v>-3</v>
      </c>
      <c r="BZ58" s="8">
        <v>3</v>
      </c>
      <c r="CA58" s="8">
        <v>4</v>
      </c>
      <c r="CB58" s="8">
        <v>6</v>
      </c>
      <c r="CC58" s="8">
        <v>-2</v>
      </c>
      <c r="CD58" s="8">
        <v>0</v>
      </c>
      <c r="CE58" s="8">
        <v>2</v>
      </c>
      <c r="CF58" s="8">
        <v>8</v>
      </c>
      <c r="CG58" s="8">
        <v>-1</v>
      </c>
      <c r="CH58" s="8">
        <v>7</v>
      </c>
      <c r="CI58" s="8">
        <v>4</v>
      </c>
      <c r="CJ58" s="8">
        <v>8</v>
      </c>
      <c r="CK58" s="8">
        <v>0</v>
      </c>
      <c r="CL58" s="8">
        <v>5</v>
      </c>
      <c r="CM58" s="8">
        <v>2</v>
      </c>
      <c r="CN58" s="8">
        <v>5</v>
      </c>
      <c r="CO58" s="8">
        <v>3</v>
      </c>
      <c r="CP58" s="8">
        <v>0</v>
      </c>
      <c r="CQ58" s="8">
        <v>-2</v>
      </c>
      <c r="CR58" s="8">
        <v>0</v>
      </c>
      <c r="CS58" s="8">
        <v>1</v>
      </c>
      <c r="CT58" s="8">
        <v>-1</v>
      </c>
      <c r="CU58" s="8">
        <v>1</v>
      </c>
      <c r="CV58" s="8">
        <v>1</v>
      </c>
      <c r="CW58" s="8">
        <v>-1</v>
      </c>
      <c r="CX58" s="8">
        <v>0</v>
      </c>
      <c r="CY58" s="8">
        <v>0</v>
      </c>
      <c r="CZ58" s="8">
        <v>0</v>
      </c>
      <c r="DA58" s="10"/>
      <c r="DB58" s="10"/>
      <c r="DC58" s="10"/>
      <c r="DD58" s="10"/>
      <c r="DE58" s="10"/>
    </row>
    <row r="59" spans="1:109" x14ac:dyDescent="0.3">
      <c r="A59" s="10">
        <v>2008</v>
      </c>
      <c r="C59" s="8">
        <v>307</v>
      </c>
      <c r="D59" s="8">
        <v>883</v>
      </c>
      <c r="E59" s="8">
        <v>743</v>
      </c>
      <c r="F59" s="8">
        <v>504</v>
      </c>
      <c r="G59" s="8">
        <v>490</v>
      </c>
      <c r="H59" s="8">
        <v>448</v>
      </c>
      <c r="I59" s="8">
        <v>437</v>
      </c>
      <c r="J59" s="8">
        <v>449</v>
      </c>
      <c r="K59" s="8">
        <v>411</v>
      </c>
      <c r="L59" s="8">
        <v>416</v>
      </c>
      <c r="M59" s="8">
        <v>442</v>
      </c>
      <c r="N59" s="8">
        <v>453</v>
      </c>
      <c r="O59" s="8">
        <v>390</v>
      </c>
      <c r="P59" s="8">
        <v>410</v>
      </c>
      <c r="Q59" s="8">
        <v>403</v>
      </c>
      <c r="R59" s="8">
        <v>372</v>
      </c>
      <c r="S59" s="8">
        <v>412</v>
      </c>
      <c r="T59" s="8">
        <v>410</v>
      </c>
      <c r="U59" s="8">
        <v>442</v>
      </c>
      <c r="V59" s="8">
        <v>647</v>
      </c>
      <c r="W59" s="8">
        <v>657</v>
      </c>
      <c r="X59" s="8">
        <v>881</v>
      </c>
      <c r="Y59" s="8">
        <v>1167</v>
      </c>
      <c r="Z59" s="8">
        <v>1443</v>
      </c>
      <c r="AA59" s="8">
        <v>1656</v>
      </c>
      <c r="AB59" s="8">
        <v>1919</v>
      </c>
      <c r="AC59" s="8">
        <v>2076</v>
      </c>
      <c r="AD59" s="8">
        <v>1985</v>
      </c>
      <c r="AE59" s="8">
        <v>2076</v>
      </c>
      <c r="AF59" s="8">
        <v>1842</v>
      </c>
      <c r="AG59" s="8">
        <v>1671</v>
      </c>
      <c r="AH59" s="8">
        <v>1407</v>
      </c>
      <c r="AI59" s="8">
        <v>1398</v>
      </c>
      <c r="AJ59" s="8">
        <v>1174</v>
      </c>
      <c r="AK59" s="8">
        <v>1161</v>
      </c>
      <c r="AL59" s="8">
        <v>1078</v>
      </c>
      <c r="AM59" s="8">
        <v>992</v>
      </c>
      <c r="AN59" s="8">
        <v>964</v>
      </c>
      <c r="AO59" s="8">
        <v>844</v>
      </c>
      <c r="AP59" s="8">
        <v>762</v>
      </c>
      <c r="AQ59" s="8">
        <v>728</v>
      </c>
      <c r="AR59" s="8">
        <v>679</v>
      </c>
      <c r="AS59" s="8">
        <v>617</v>
      </c>
      <c r="AT59" s="8">
        <v>567</v>
      </c>
      <c r="AU59" s="8">
        <v>522</v>
      </c>
      <c r="AV59" s="8">
        <v>513</v>
      </c>
      <c r="AW59" s="8">
        <v>471</v>
      </c>
      <c r="AX59" s="8">
        <v>402</v>
      </c>
      <c r="AY59" s="8">
        <v>373</v>
      </c>
      <c r="AZ59" s="8">
        <v>362</v>
      </c>
      <c r="BA59" s="8">
        <v>321</v>
      </c>
      <c r="BB59" s="8">
        <v>251</v>
      </c>
      <c r="BC59" s="8">
        <v>183</v>
      </c>
      <c r="BD59" s="8">
        <v>219</v>
      </c>
      <c r="BE59" s="8">
        <v>139</v>
      </c>
      <c r="BF59" s="8">
        <v>117</v>
      </c>
      <c r="BG59" s="8">
        <v>107</v>
      </c>
      <c r="BH59" s="8">
        <v>70</v>
      </c>
      <c r="BI59" s="8">
        <v>6</v>
      </c>
      <c r="BJ59" s="8">
        <v>45</v>
      </c>
      <c r="BK59" s="8">
        <v>11</v>
      </c>
      <c r="BL59" s="8">
        <v>20</v>
      </c>
      <c r="BM59" s="8">
        <v>-39</v>
      </c>
      <c r="BN59" s="8">
        <v>-36</v>
      </c>
      <c r="BO59" s="8">
        <v>3</v>
      </c>
      <c r="BP59" s="8">
        <v>-9</v>
      </c>
      <c r="BQ59" s="8">
        <v>-17</v>
      </c>
      <c r="BR59" s="8">
        <v>-10</v>
      </c>
      <c r="BS59" s="8">
        <v>-18</v>
      </c>
      <c r="BT59" s="8">
        <v>3</v>
      </c>
      <c r="BU59" s="8">
        <v>25</v>
      </c>
      <c r="BV59" s="8">
        <v>12</v>
      </c>
      <c r="BW59" s="8">
        <v>10</v>
      </c>
      <c r="BX59" s="8">
        <v>-11</v>
      </c>
      <c r="BY59" s="8">
        <v>14</v>
      </c>
      <c r="BZ59" s="8">
        <v>5</v>
      </c>
      <c r="CA59" s="8">
        <v>18</v>
      </c>
      <c r="CB59" s="8">
        <v>3</v>
      </c>
      <c r="CC59" s="8">
        <v>-1</v>
      </c>
      <c r="CD59" s="8">
        <v>-6</v>
      </c>
      <c r="CE59" s="8">
        <v>4</v>
      </c>
      <c r="CF59" s="8">
        <v>-3</v>
      </c>
      <c r="CG59" s="8">
        <v>2</v>
      </c>
      <c r="CH59" s="8">
        <v>6</v>
      </c>
      <c r="CI59" s="8">
        <v>4</v>
      </c>
      <c r="CJ59" s="8">
        <v>-5</v>
      </c>
      <c r="CK59" s="8">
        <v>2</v>
      </c>
      <c r="CL59" s="8">
        <v>5</v>
      </c>
      <c r="CM59" s="8">
        <v>-2</v>
      </c>
      <c r="CN59" s="8">
        <v>-1</v>
      </c>
      <c r="CO59" s="8">
        <v>0</v>
      </c>
      <c r="CP59" s="8">
        <v>-1</v>
      </c>
      <c r="CQ59" s="8">
        <v>1</v>
      </c>
      <c r="CR59" s="8">
        <v>1</v>
      </c>
      <c r="CS59" s="8">
        <v>0</v>
      </c>
      <c r="CT59" s="8">
        <v>-1</v>
      </c>
      <c r="CU59" s="8">
        <v>0</v>
      </c>
      <c r="CV59" s="8">
        <v>0</v>
      </c>
      <c r="CW59" s="8">
        <v>0</v>
      </c>
      <c r="CX59" s="8">
        <v>1</v>
      </c>
      <c r="CY59" s="8">
        <v>0</v>
      </c>
      <c r="CZ59" s="8">
        <v>0</v>
      </c>
      <c r="DA59" s="10"/>
      <c r="DB59" s="10"/>
      <c r="DC59" s="10"/>
      <c r="DD59" s="10"/>
      <c r="DE59" s="10"/>
    </row>
    <row r="60" spans="1:109" x14ac:dyDescent="0.3">
      <c r="A60" s="10">
        <v>2009</v>
      </c>
      <c r="C60" s="8">
        <v>398</v>
      </c>
      <c r="D60" s="8">
        <v>916</v>
      </c>
      <c r="E60" s="8">
        <v>710</v>
      </c>
      <c r="F60" s="8">
        <v>580</v>
      </c>
      <c r="G60" s="8">
        <v>462</v>
      </c>
      <c r="H60" s="8">
        <v>505</v>
      </c>
      <c r="I60" s="8">
        <v>373</v>
      </c>
      <c r="J60" s="8">
        <v>389</v>
      </c>
      <c r="K60" s="8">
        <v>410</v>
      </c>
      <c r="L60" s="8">
        <v>415</v>
      </c>
      <c r="M60" s="8">
        <v>419</v>
      </c>
      <c r="N60" s="8">
        <v>418</v>
      </c>
      <c r="O60" s="8">
        <v>402</v>
      </c>
      <c r="P60" s="8">
        <v>409</v>
      </c>
      <c r="Q60" s="8">
        <v>428</v>
      </c>
      <c r="R60" s="8">
        <v>418</v>
      </c>
      <c r="S60" s="8">
        <v>527</v>
      </c>
      <c r="T60" s="8">
        <v>642</v>
      </c>
      <c r="U60" s="8">
        <v>605</v>
      </c>
      <c r="V60" s="8">
        <v>651</v>
      </c>
      <c r="W60" s="8">
        <v>649</v>
      </c>
      <c r="X60" s="8">
        <v>810</v>
      </c>
      <c r="Y60" s="8">
        <v>1009</v>
      </c>
      <c r="Z60" s="8">
        <v>1341</v>
      </c>
      <c r="AA60" s="8">
        <v>1578</v>
      </c>
      <c r="AB60" s="8">
        <v>1896</v>
      </c>
      <c r="AC60" s="8">
        <v>1938</v>
      </c>
      <c r="AD60" s="8">
        <v>1761</v>
      </c>
      <c r="AE60" s="8">
        <v>1557</v>
      </c>
      <c r="AF60" s="8">
        <v>1608</v>
      </c>
      <c r="AG60" s="8">
        <v>1292</v>
      </c>
      <c r="AH60" s="8">
        <v>1218</v>
      </c>
      <c r="AI60" s="8">
        <v>1047</v>
      </c>
      <c r="AJ60" s="8">
        <v>944</v>
      </c>
      <c r="AK60" s="8">
        <v>941</v>
      </c>
      <c r="AL60" s="8">
        <v>839</v>
      </c>
      <c r="AM60" s="8">
        <v>719</v>
      </c>
      <c r="AN60" s="8">
        <v>687</v>
      </c>
      <c r="AO60" s="8">
        <v>625</v>
      </c>
      <c r="AP60" s="8">
        <v>655</v>
      </c>
      <c r="AQ60" s="8">
        <v>532</v>
      </c>
      <c r="AR60" s="8">
        <v>498</v>
      </c>
      <c r="AS60" s="8">
        <v>484</v>
      </c>
      <c r="AT60" s="8">
        <v>454</v>
      </c>
      <c r="AU60" s="8">
        <v>404</v>
      </c>
      <c r="AV60" s="8">
        <v>411</v>
      </c>
      <c r="AW60" s="8">
        <v>312</v>
      </c>
      <c r="AX60" s="8">
        <v>298</v>
      </c>
      <c r="AY60" s="8">
        <v>264</v>
      </c>
      <c r="AZ60" s="8">
        <v>206</v>
      </c>
      <c r="BA60" s="8">
        <v>276</v>
      </c>
      <c r="BB60" s="8">
        <v>203</v>
      </c>
      <c r="BC60" s="8">
        <v>131</v>
      </c>
      <c r="BD60" s="8">
        <v>132</v>
      </c>
      <c r="BE60" s="8">
        <v>106</v>
      </c>
      <c r="BF60" s="8">
        <v>123</v>
      </c>
      <c r="BG60" s="8">
        <v>58</v>
      </c>
      <c r="BH60" s="8">
        <v>91</v>
      </c>
      <c r="BI60" s="8">
        <v>56</v>
      </c>
      <c r="BJ60" s="8">
        <v>87</v>
      </c>
      <c r="BK60" s="8">
        <v>72</v>
      </c>
      <c r="BL60" s="8">
        <v>25</v>
      </c>
      <c r="BM60" s="8">
        <v>25</v>
      </c>
      <c r="BN60" s="8">
        <v>-19</v>
      </c>
      <c r="BO60" s="8">
        <v>-12</v>
      </c>
      <c r="BP60" s="8">
        <v>-4</v>
      </c>
      <c r="BQ60" s="8">
        <v>-3</v>
      </c>
      <c r="BR60" s="8">
        <v>-1</v>
      </c>
      <c r="BS60" s="8">
        <v>-4</v>
      </c>
      <c r="BT60" s="8">
        <v>-5</v>
      </c>
      <c r="BU60" s="8">
        <v>15</v>
      </c>
      <c r="BV60" s="8">
        <v>14</v>
      </c>
      <c r="BW60" s="8">
        <v>28</v>
      </c>
      <c r="BX60" s="8">
        <v>38</v>
      </c>
      <c r="BY60" s="8">
        <v>26</v>
      </c>
      <c r="BZ60" s="8">
        <v>9</v>
      </c>
      <c r="CA60" s="8">
        <v>14</v>
      </c>
      <c r="CB60" s="8">
        <v>12</v>
      </c>
      <c r="CC60" s="8">
        <v>12</v>
      </c>
      <c r="CD60" s="8">
        <v>13</v>
      </c>
      <c r="CE60" s="8">
        <v>6</v>
      </c>
      <c r="CF60" s="8">
        <v>7</v>
      </c>
      <c r="CG60" s="8">
        <v>7</v>
      </c>
      <c r="CH60" s="8">
        <v>5</v>
      </c>
      <c r="CI60" s="8">
        <v>1</v>
      </c>
      <c r="CJ60" s="8">
        <v>-1</v>
      </c>
      <c r="CK60" s="8">
        <v>1</v>
      </c>
      <c r="CL60" s="8">
        <v>0</v>
      </c>
      <c r="CM60" s="8">
        <v>6</v>
      </c>
      <c r="CN60" s="8">
        <v>7</v>
      </c>
      <c r="CO60" s="8">
        <v>-2</v>
      </c>
      <c r="CP60" s="8">
        <v>5</v>
      </c>
      <c r="CQ60" s="8">
        <v>2</v>
      </c>
      <c r="CR60" s="8">
        <v>-1</v>
      </c>
      <c r="CS60" s="8">
        <v>0</v>
      </c>
      <c r="CT60" s="8">
        <v>2</v>
      </c>
      <c r="CU60" s="8">
        <v>-2</v>
      </c>
      <c r="CV60" s="8">
        <v>0</v>
      </c>
      <c r="CW60" s="8">
        <v>-2</v>
      </c>
      <c r="CX60" s="8">
        <v>1</v>
      </c>
      <c r="CY60" s="8">
        <v>0</v>
      </c>
      <c r="CZ60" s="8">
        <v>0</v>
      </c>
      <c r="DA60" s="10"/>
      <c r="DB60" s="10"/>
      <c r="DC60" s="10"/>
      <c r="DD60" s="10"/>
      <c r="DE60" s="10"/>
    </row>
    <row r="61" spans="1:109" x14ac:dyDescent="0.3">
      <c r="A61" s="10">
        <v>2010</v>
      </c>
      <c r="C61" s="8">
        <v>382</v>
      </c>
      <c r="D61" s="8">
        <v>1039</v>
      </c>
      <c r="E61" s="8">
        <v>728</v>
      </c>
      <c r="F61" s="8">
        <v>610</v>
      </c>
      <c r="G61" s="8">
        <v>396</v>
      </c>
      <c r="H61" s="8">
        <v>415</v>
      </c>
      <c r="I61" s="8">
        <v>358</v>
      </c>
      <c r="J61" s="8">
        <v>357</v>
      </c>
      <c r="K61" s="8">
        <v>373</v>
      </c>
      <c r="L61" s="8">
        <v>344</v>
      </c>
      <c r="M61" s="8">
        <v>372</v>
      </c>
      <c r="N61" s="8">
        <v>412</v>
      </c>
      <c r="O61" s="8">
        <v>378</v>
      </c>
      <c r="P61" s="8">
        <v>371</v>
      </c>
      <c r="Q61" s="8">
        <v>398</v>
      </c>
      <c r="R61" s="8">
        <v>360</v>
      </c>
      <c r="S61" s="8">
        <v>539</v>
      </c>
      <c r="T61" s="8">
        <v>777</v>
      </c>
      <c r="U61" s="8">
        <v>603</v>
      </c>
      <c r="V61" s="8">
        <v>776</v>
      </c>
      <c r="W61" s="8">
        <v>963</v>
      </c>
      <c r="X61" s="8">
        <v>1162</v>
      </c>
      <c r="Y61" s="8">
        <v>1468</v>
      </c>
      <c r="Z61" s="8">
        <v>1779</v>
      </c>
      <c r="AA61" s="8">
        <v>2052</v>
      </c>
      <c r="AB61" s="8">
        <v>2044</v>
      </c>
      <c r="AC61" s="8">
        <v>2202</v>
      </c>
      <c r="AD61" s="8">
        <v>2044</v>
      </c>
      <c r="AE61" s="8">
        <v>1946</v>
      </c>
      <c r="AF61" s="8">
        <v>1620</v>
      </c>
      <c r="AG61" s="8">
        <v>1481</v>
      </c>
      <c r="AH61" s="8">
        <v>1145</v>
      </c>
      <c r="AI61" s="8">
        <v>1182</v>
      </c>
      <c r="AJ61" s="8">
        <v>1187</v>
      </c>
      <c r="AK61" s="8">
        <v>950</v>
      </c>
      <c r="AL61" s="8">
        <v>849</v>
      </c>
      <c r="AM61" s="8">
        <v>881</v>
      </c>
      <c r="AN61" s="8">
        <v>649</v>
      </c>
      <c r="AO61" s="8">
        <v>665</v>
      </c>
      <c r="AP61" s="8">
        <v>572</v>
      </c>
      <c r="AQ61" s="8">
        <v>559</v>
      </c>
      <c r="AR61" s="8">
        <v>542</v>
      </c>
      <c r="AS61" s="8">
        <v>508</v>
      </c>
      <c r="AT61" s="8">
        <v>441</v>
      </c>
      <c r="AU61" s="8">
        <v>407</v>
      </c>
      <c r="AV61" s="8">
        <v>352</v>
      </c>
      <c r="AW61" s="8">
        <v>384</v>
      </c>
      <c r="AX61" s="8">
        <v>336</v>
      </c>
      <c r="AY61" s="8">
        <v>276</v>
      </c>
      <c r="AZ61" s="8">
        <v>194</v>
      </c>
      <c r="BA61" s="8">
        <v>248</v>
      </c>
      <c r="BB61" s="8">
        <v>182</v>
      </c>
      <c r="BC61" s="8">
        <v>202</v>
      </c>
      <c r="BD61" s="8">
        <v>144</v>
      </c>
      <c r="BE61" s="8">
        <v>130</v>
      </c>
      <c r="BF61" s="8">
        <v>107</v>
      </c>
      <c r="BG61" s="8">
        <v>100</v>
      </c>
      <c r="BH61" s="8">
        <v>61</v>
      </c>
      <c r="BI61" s="8">
        <v>45</v>
      </c>
      <c r="BJ61" s="8">
        <v>50</v>
      </c>
      <c r="BK61" s="8">
        <v>37</v>
      </c>
      <c r="BL61" s="8">
        <v>20</v>
      </c>
      <c r="BM61" s="8">
        <v>15</v>
      </c>
      <c r="BN61" s="8">
        <v>-11</v>
      </c>
      <c r="BO61" s="8">
        <v>36</v>
      </c>
      <c r="BP61" s="8">
        <v>22</v>
      </c>
      <c r="BQ61" s="8">
        <v>-2</v>
      </c>
      <c r="BR61" s="8">
        <v>-11</v>
      </c>
      <c r="BS61" s="8">
        <v>-14</v>
      </c>
      <c r="BT61" s="8">
        <v>11</v>
      </c>
      <c r="BU61" s="8">
        <v>23</v>
      </c>
      <c r="BV61" s="8">
        <v>3</v>
      </c>
      <c r="BW61" s="8">
        <v>13</v>
      </c>
      <c r="BX61" s="8">
        <v>0</v>
      </c>
      <c r="BY61" s="8">
        <v>7</v>
      </c>
      <c r="BZ61" s="8">
        <v>-1</v>
      </c>
      <c r="CA61" s="8">
        <v>5</v>
      </c>
      <c r="CB61" s="8">
        <v>12</v>
      </c>
      <c r="CC61" s="8">
        <v>6</v>
      </c>
      <c r="CD61" s="8">
        <v>11</v>
      </c>
      <c r="CE61" s="8">
        <v>5</v>
      </c>
      <c r="CF61" s="8">
        <v>12</v>
      </c>
      <c r="CG61" s="8">
        <v>-1</v>
      </c>
      <c r="CH61" s="8">
        <v>4</v>
      </c>
      <c r="CI61" s="8">
        <v>1</v>
      </c>
      <c r="CJ61" s="8">
        <v>5</v>
      </c>
      <c r="CK61" s="8">
        <v>6</v>
      </c>
      <c r="CL61" s="8">
        <v>-1</v>
      </c>
      <c r="CM61" s="8">
        <v>2</v>
      </c>
      <c r="CN61" s="8">
        <v>3</v>
      </c>
      <c r="CO61" s="8">
        <v>0</v>
      </c>
      <c r="CP61" s="8">
        <v>0</v>
      </c>
      <c r="CQ61" s="8">
        <v>0</v>
      </c>
      <c r="CR61" s="8">
        <v>0</v>
      </c>
      <c r="CS61" s="8">
        <v>3</v>
      </c>
      <c r="CT61" s="8">
        <v>0</v>
      </c>
      <c r="CU61" s="8">
        <v>0</v>
      </c>
      <c r="CV61" s="8">
        <v>0</v>
      </c>
      <c r="CW61" s="8">
        <v>1</v>
      </c>
      <c r="CX61" s="8">
        <v>0</v>
      </c>
      <c r="CY61" s="8">
        <v>0</v>
      </c>
      <c r="CZ61" s="8">
        <v>0</v>
      </c>
      <c r="DA61" s="10"/>
      <c r="DB61" s="10"/>
      <c r="DC61" s="10"/>
      <c r="DD61" s="10"/>
      <c r="DE61" s="10"/>
    </row>
    <row r="62" spans="1:109" x14ac:dyDescent="0.3">
      <c r="A62" s="10">
        <v>2011</v>
      </c>
      <c r="C62" s="8">
        <v>410</v>
      </c>
      <c r="D62" s="8">
        <v>1057</v>
      </c>
      <c r="E62" s="8">
        <v>781</v>
      </c>
      <c r="F62" s="8">
        <v>561</v>
      </c>
      <c r="G62" s="8">
        <v>498</v>
      </c>
      <c r="H62" s="8">
        <v>504</v>
      </c>
      <c r="I62" s="8">
        <v>381</v>
      </c>
      <c r="J62" s="8">
        <v>408</v>
      </c>
      <c r="K62" s="8">
        <v>338</v>
      </c>
      <c r="L62" s="8">
        <v>296</v>
      </c>
      <c r="M62" s="8">
        <v>342</v>
      </c>
      <c r="N62" s="8">
        <v>362</v>
      </c>
      <c r="O62" s="8">
        <v>355</v>
      </c>
      <c r="P62" s="8">
        <v>350</v>
      </c>
      <c r="Q62" s="8">
        <v>396</v>
      </c>
      <c r="R62" s="8">
        <v>382</v>
      </c>
      <c r="S62" s="8">
        <v>474</v>
      </c>
      <c r="T62" s="8">
        <v>482</v>
      </c>
      <c r="U62" s="8">
        <v>505</v>
      </c>
      <c r="V62" s="8">
        <v>599</v>
      </c>
      <c r="W62" s="8">
        <v>818</v>
      </c>
      <c r="X62" s="8">
        <v>1094</v>
      </c>
      <c r="Y62" s="8">
        <v>1509</v>
      </c>
      <c r="Z62" s="8">
        <v>1829</v>
      </c>
      <c r="AA62" s="8">
        <v>2117</v>
      </c>
      <c r="AB62" s="8">
        <v>2398</v>
      </c>
      <c r="AC62" s="8">
        <v>2322</v>
      </c>
      <c r="AD62" s="8">
        <v>2189</v>
      </c>
      <c r="AE62" s="8">
        <v>2067</v>
      </c>
      <c r="AF62" s="8">
        <v>1889</v>
      </c>
      <c r="AG62" s="8">
        <v>1690</v>
      </c>
      <c r="AH62" s="8">
        <v>1552</v>
      </c>
      <c r="AI62" s="8">
        <v>1483</v>
      </c>
      <c r="AJ62" s="8">
        <v>1294</v>
      </c>
      <c r="AK62" s="8">
        <v>1207</v>
      </c>
      <c r="AL62" s="8">
        <v>1159</v>
      </c>
      <c r="AM62" s="8">
        <v>1067</v>
      </c>
      <c r="AN62" s="8">
        <v>947</v>
      </c>
      <c r="AO62" s="8">
        <v>870</v>
      </c>
      <c r="AP62" s="8">
        <v>869</v>
      </c>
      <c r="AQ62" s="8">
        <v>718</v>
      </c>
      <c r="AR62" s="8">
        <v>742</v>
      </c>
      <c r="AS62" s="8">
        <v>643</v>
      </c>
      <c r="AT62" s="8">
        <v>598</v>
      </c>
      <c r="AU62" s="8">
        <v>529</v>
      </c>
      <c r="AV62" s="8">
        <v>442</v>
      </c>
      <c r="AW62" s="8">
        <v>507</v>
      </c>
      <c r="AX62" s="8">
        <v>391</v>
      </c>
      <c r="AY62" s="8">
        <v>362</v>
      </c>
      <c r="AZ62" s="8">
        <v>370</v>
      </c>
      <c r="BA62" s="8">
        <v>324</v>
      </c>
      <c r="BB62" s="8">
        <v>264</v>
      </c>
      <c r="BC62" s="8">
        <v>235</v>
      </c>
      <c r="BD62" s="8">
        <v>238</v>
      </c>
      <c r="BE62" s="8">
        <v>189</v>
      </c>
      <c r="BF62" s="8">
        <v>171</v>
      </c>
      <c r="BG62" s="8">
        <v>153</v>
      </c>
      <c r="BH62" s="8">
        <v>79</v>
      </c>
      <c r="BI62" s="8">
        <v>80</v>
      </c>
      <c r="BJ62" s="8">
        <v>45</v>
      </c>
      <c r="BK62" s="8">
        <v>43</v>
      </c>
      <c r="BL62" s="8">
        <v>55</v>
      </c>
      <c r="BM62" s="8">
        <v>-33</v>
      </c>
      <c r="BN62" s="8">
        <v>-19</v>
      </c>
      <c r="BO62" s="8">
        <v>-10</v>
      </c>
      <c r="BP62" s="8">
        <v>-11</v>
      </c>
      <c r="BQ62" s="8">
        <v>-8</v>
      </c>
      <c r="BR62" s="8">
        <v>-30</v>
      </c>
      <c r="BS62" s="8">
        <v>-1</v>
      </c>
      <c r="BT62" s="8">
        <v>-8</v>
      </c>
      <c r="BU62" s="8">
        <v>-8</v>
      </c>
      <c r="BV62" s="8">
        <v>2</v>
      </c>
      <c r="BW62" s="8">
        <v>27</v>
      </c>
      <c r="BX62" s="8">
        <v>22</v>
      </c>
      <c r="BY62" s="8">
        <v>-4</v>
      </c>
      <c r="BZ62" s="8">
        <v>-8</v>
      </c>
      <c r="CA62" s="8">
        <v>19</v>
      </c>
      <c r="CB62" s="8">
        <v>4</v>
      </c>
      <c r="CC62" s="8">
        <v>10</v>
      </c>
      <c r="CD62" s="8">
        <v>2</v>
      </c>
      <c r="CE62" s="8">
        <v>9</v>
      </c>
      <c r="CF62" s="8">
        <v>2</v>
      </c>
      <c r="CG62" s="8">
        <v>7</v>
      </c>
      <c r="CH62" s="8">
        <v>-7</v>
      </c>
      <c r="CI62" s="8">
        <v>3</v>
      </c>
      <c r="CJ62" s="8">
        <v>0</v>
      </c>
      <c r="CK62" s="8">
        <v>-4</v>
      </c>
      <c r="CL62" s="8">
        <v>-6</v>
      </c>
      <c r="CM62" s="8">
        <v>5</v>
      </c>
      <c r="CN62" s="8">
        <v>3</v>
      </c>
      <c r="CO62" s="8">
        <v>2</v>
      </c>
      <c r="CP62" s="8">
        <v>1</v>
      </c>
      <c r="CQ62" s="8">
        <v>-1</v>
      </c>
      <c r="CR62" s="8">
        <v>1</v>
      </c>
      <c r="CS62" s="8">
        <v>-1</v>
      </c>
      <c r="CT62" s="8">
        <v>0</v>
      </c>
      <c r="CU62" s="8">
        <v>3</v>
      </c>
      <c r="CV62" s="8">
        <v>0</v>
      </c>
      <c r="CW62" s="8">
        <v>1</v>
      </c>
      <c r="CX62" s="8">
        <v>0</v>
      </c>
      <c r="CY62" s="8">
        <v>0</v>
      </c>
      <c r="CZ62" s="8">
        <v>-2</v>
      </c>
      <c r="DA62" s="10"/>
      <c r="DB62" s="10"/>
      <c r="DC62" s="10"/>
      <c r="DD62" s="10"/>
      <c r="DE62" s="10"/>
    </row>
    <row r="63" spans="1:109" x14ac:dyDescent="0.3">
      <c r="A63" s="10">
        <v>2012</v>
      </c>
      <c r="C63" s="8">
        <v>459</v>
      </c>
      <c r="D63" s="8">
        <v>1164</v>
      </c>
      <c r="E63" s="8">
        <v>917</v>
      </c>
      <c r="F63" s="8">
        <v>741</v>
      </c>
      <c r="G63" s="8">
        <v>576</v>
      </c>
      <c r="H63" s="8">
        <v>551</v>
      </c>
      <c r="I63" s="8">
        <v>447</v>
      </c>
      <c r="J63" s="8">
        <v>413</v>
      </c>
      <c r="K63" s="8">
        <v>394</v>
      </c>
      <c r="L63" s="8">
        <v>440</v>
      </c>
      <c r="M63" s="8">
        <v>345</v>
      </c>
      <c r="N63" s="8">
        <v>358</v>
      </c>
      <c r="O63" s="8">
        <v>409</v>
      </c>
      <c r="P63" s="8">
        <v>416</v>
      </c>
      <c r="Q63" s="8">
        <v>385</v>
      </c>
      <c r="R63" s="8">
        <v>429</v>
      </c>
      <c r="S63" s="8">
        <v>524</v>
      </c>
      <c r="T63" s="8">
        <v>568</v>
      </c>
      <c r="U63" s="8">
        <v>480</v>
      </c>
      <c r="V63" s="8">
        <v>756</v>
      </c>
      <c r="W63" s="8">
        <v>952</v>
      </c>
      <c r="X63" s="8">
        <v>976</v>
      </c>
      <c r="Y63" s="8">
        <v>1330</v>
      </c>
      <c r="Z63" s="8">
        <v>1688</v>
      </c>
      <c r="AA63" s="8">
        <v>1937</v>
      </c>
      <c r="AB63" s="8">
        <v>2339</v>
      </c>
      <c r="AC63" s="8">
        <v>2413</v>
      </c>
      <c r="AD63" s="8">
        <v>2268</v>
      </c>
      <c r="AE63" s="8">
        <v>2136</v>
      </c>
      <c r="AF63" s="8">
        <v>2002</v>
      </c>
      <c r="AG63" s="8">
        <v>1876</v>
      </c>
      <c r="AH63" s="8">
        <v>1535</v>
      </c>
      <c r="AI63" s="8">
        <v>1459</v>
      </c>
      <c r="AJ63" s="8">
        <v>1411</v>
      </c>
      <c r="AK63" s="8">
        <v>1270</v>
      </c>
      <c r="AL63" s="8">
        <v>1188</v>
      </c>
      <c r="AM63" s="8">
        <v>999</v>
      </c>
      <c r="AN63" s="8">
        <v>905</v>
      </c>
      <c r="AO63" s="8">
        <v>851</v>
      </c>
      <c r="AP63" s="8">
        <v>875</v>
      </c>
      <c r="AQ63" s="8">
        <v>709</v>
      </c>
      <c r="AR63" s="8">
        <v>617</v>
      </c>
      <c r="AS63" s="8">
        <v>592</v>
      </c>
      <c r="AT63" s="8">
        <v>504</v>
      </c>
      <c r="AU63" s="8">
        <v>505</v>
      </c>
      <c r="AV63" s="8">
        <v>394</v>
      </c>
      <c r="AW63" s="8">
        <v>358</v>
      </c>
      <c r="AX63" s="8">
        <v>350</v>
      </c>
      <c r="AY63" s="8">
        <v>284</v>
      </c>
      <c r="AZ63" s="8">
        <v>284</v>
      </c>
      <c r="BA63" s="8">
        <v>202</v>
      </c>
      <c r="BB63" s="8">
        <v>246</v>
      </c>
      <c r="BC63" s="8">
        <v>215</v>
      </c>
      <c r="BD63" s="8">
        <v>214</v>
      </c>
      <c r="BE63" s="8">
        <v>168</v>
      </c>
      <c r="BF63" s="8">
        <v>136</v>
      </c>
      <c r="BG63" s="8">
        <v>142</v>
      </c>
      <c r="BH63" s="8">
        <v>92</v>
      </c>
      <c r="BI63" s="8">
        <v>39</v>
      </c>
      <c r="BJ63" s="8">
        <v>43</v>
      </c>
      <c r="BK63" s="8">
        <v>36</v>
      </c>
      <c r="BL63" s="8">
        <v>43</v>
      </c>
      <c r="BM63" s="8">
        <v>-21</v>
      </c>
      <c r="BN63" s="8">
        <v>-3</v>
      </c>
      <c r="BO63" s="8">
        <v>-12</v>
      </c>
      <c r="BP63" s="8">
        <v>-23</v>
      </c>
      <c r="BQ63" s="8">
        <v>4</v>
      </c>
      <c r="BR63" s="8">
        <v>-10</v>
      </c>
      <c r="BS63" s="8">
        <v>-30</v>
      </c>
      <c r="BT63" s="8">
        <v>16</v>
      </c>
      <c r="BU63" s="8">
        <v>-23</v>
      </c>
      <c r="BV63" s="8">
        <v>0</v>
      </c>
      <c r="BW63" s="8">
        <v>16</v>
      </c>
      <c r="BX63" s="8">
        <v>-7</v>
      </c>
      <c r="BY63" s="8">
        <v>2</v>
      </c>
      <c r="BZ63" s="8">
        <v>12</v>
      </c>
      <c r="CA63" s="8">
        <v>12</v>
      </c>
      <c r="CB63" s="8">
        <v>16</v>
      </c>
      <c r="CC63" s="8">
        <v>-3</v>
      </c>
      <c r="CD63" s="8">
        <v>15</v>
      </c>
      <c r="CE63" s="8">
        <v>3</v>
      </c>
      <c r="CF63" s="8">
        <v>8</v>
      </c>
      <c r="CG63" s="8">
        <v>10</v>
      </c>
      <c r="CH63" s="8">
        <v>-5</v>
      </c>
      <c r="CI63" s="8">
        <v>3</v>
      </c>
      <c r="CJ63" s="8">
        <v>6</v>
      </c>
      <c r="CK63" s="8">
        <v>-1</v>
      </c>
      <c r="CL63" s="8">
        <v>3</v>
      </c>
      <c r="CM63" s="8">
        <v>1</v>
      </c>
      <c r="CN63" s="8">
        <v>-3</v>
      </c>
      <c r="CO63" s="8">
        <v>-6</v>
      </c>
      <c r="CP63" s="8">
        <v>-6</v>
      </c>
      <c r="CQ63" s="8">
        <v>-2</v>
      </c>
      <c r="CR63" s="8">
        <v>-5</v>
      </c>
      <c r="CS63" s="8">
        <v>-6</v>
      </c>
      <c r="CT63" s="8">
        <v>0</v>
      </c>
      <c r="CU63" s="8">
        <v>-2</v>
      </c>
      <c r="CV63" s="8">
        <v>0</v>
      </c>
      <c r="CW63" s="8">
        <v>0</v>
      </c>
      <c r="CX63" s="8">
        <v>2</v>
      </c>
      <c r="CY63" s="8">
        <v>1</v>
      </c>
      <c r="CZ63" s="8">
        <v>0</v>
      </c>
      <c r="DA63" s="10"/>
      <c r="DB63" s="10"/>
      <c r="DC63" s="10"/>
      <c r="DD63" s="10"/>
      <c r="DE63" s="10"/>
    </row>
    <row r="64" spans="1:109" x14ac:dyDescent="0.3">
      <c r="A64" s="10">
        <v>2013</v>
      </c>
      <c r="C64" s="8">
        <v>434</v>
      </c>
      <c r="D64" s="8">
        <v>1033</v>
      </c>
      <c r="E64" s="8">
        <v>761</v>
      </c>
      <c r="F64" s="8">
        <v>564</v>
      </c>
      <c r="G64" s="8">
        <v>531</v>
      </c>
      <c r="H64" s="8">
        <v>443</v>
      </c>
      <c r="I64" s="8">
        <v>460</v>
      </c>
      <c r="J64" s="8">
        <v>377</v>
      </c>
      <c r="K64" s="8">
        <v>426</v>
      </c>
      <c r="L64" s="8">
        <v>424</v>
      </c>
      <c r="M64" s="8">
        <v>375</v>
      </c>
      <c r="N64" s="8">
        <v>417</v>
      </c>
      <c r="O64" s="8">
        <v>314</v>
      </c>
      <c r="P64" s="8">
        <v>396</v>
      </c>
      <c r="Q64" s="8">
        <v>387</v>
      </c>
      <c r="R64" s="8">
        <v>413</v>
      </c>
      <c r="S64" s="8">
        <v>529</v>
      </c>
      <c r="T64" s="8">
        <v>578</v>
      </c>
      <c r="U64" s="8">
        <v>531</v>
      </c>
      <c r="V64" s="8">
        <v>579</v>
      </c>
      <c r="W64" s="8">
        <v>602</v>
      </c>
      <c r="X64" s="8">
        <v>869</v>
      </c>
      <c r="Y64" s="8">
        <v>1208</v>
      </c>
      <c r="Z64" s="8">
        <v>1475</v>
      </c>
      <c r="AA64" s="8">
        <v>1653</v>
      </c>
      <c r="AB64" s="8">
        <v>1978</v>
      </c>
      <c r="AC64" s="8">
        <v>1921</v>
      </c>
      <c r="AD64" s="8">
        <v>2106</v>
      </c>
      <c r="AE64" s="8">
        <v>1950</v>
      </c>
      <c r="AF64" s="8">
        <v>1803</v>
      </c>
      <c r="AG64" s="8">
        <v>1580</v>
      </c>
      <c r="AH64" s="8">
        <v>1320</v>
      </c>
      <c r="AI64" s="8">
        <v>1203</v>
      </c>
      <c r="AJ64" s="8">
        <v>1141</v>
      </c>
      <c r="AK64" s="8">
        <v>1056</v>
      </c>
      <c r="AL64" s="8">
        <v>1003</v>
      </c>
      <c r="AM64" s="8">
        <v>867</v>
      </c>
      <c r="AN64" s="8">
        <v>778</v>
      </c>
      <c r="AO64" s="8">
        <v>651</v>
      </c>
      <c r="AP64" s="8">
        <v>733</v>
      </c>
      <c r="AQ64" s="8">
        <v>572</v>
      </c>
      <c r="AR64" s="8">
        <v>554</v>
      </c>
      <c r="AS64" s="8">
        <v>472</v>
      </c>
      <c r="AT64" s="8">
        <v>440</v>
      </c>
      <c r="AU64" s="8">
        <v>339</v>
      </c>
      <c r="AV64" s="8">
        <v>291</v>
      </c>
      <c r="AW64" s="8">
        <v>245</v>
      </c>
      <c r="AX64" s="8">
        <v>268</v>
      </c>
      <c r="AY64" s="8">
        <v>231</v>
      </c>
      <c r="AZ64" s="8">
        <v>221</v>
      </c>
      <c r="BA64" s="8">
        <v>110</v>
      </c>
      <c r="BB64" s="8">
        <v>108</v>
      </c>
      <c r="BC64" s="8">
        <v>103</v>
      </c>
      <c r="BD64" s="8">
        <v>97</v>
      </c>
      <c r="BE64" s="8">
        <v>97</v>
      </c>
      <c r="BF64" s="8">
        <v>66</v>
      </c>
      <c r="BG64" s="8">
        <v>18</v>
      </c>
      <c r="BH64" s="8">
        <v>-13</v>
      </c>
      <c r="BI64" s="8">
        <v>0</v>
      </c>
      <c r="BJ64" s="8">
        <v>39</v>
      </c>
      <c r="BK64" s="8">
        <v>-21</v>
      </c>
      <c r="BL64" s="8">
        <v>-9</v>
      </c>
      <c r="BM64" s="8">
        <v>-15</v>
      </c>
      <c r="BN64" s="8">
        <v>-9</v>
      </c>
      <c r="BO64" s="8">
        <v>-33</v>
      </c>
      <c r="BP64" s="8">
        <v>7</v>
      </c>
      <c r="BQ64" s="8">
        <v>-7</v>
      </c>
      <c r="BR64" s="8">
        <v>-6</v>
      </c>
      <c r="BS64" s="8">
        <v>-37</v>
      </c>
      <c r="BT64" s="8">
        <v>-19</v>
      </c>
      <c r="BU64" s="8">
        <v>8</v>
      </c>
      <c r="BV64" s="8">
        <v>31</v>
      </c>
      <c r="BW64" s="8">
        <v>-5</v>
      </c>
      <c r="BX64" s="8">
        <v>10</v>
      </c>
      <c r="BY64" s="8">
        <v>1</v>
      </c>
      <c r="BZ64" s="8">
        <v>3</v>
      </c>
      <c r="CA64" s="8">
        <v>12</v>
      </c>
      <c r="CB64" s="8">
        <v>-13</v>
      </c>
      <c r="CC64" s="8">
        <v>7</v>
      </c>
      <c r="CD64" s="8">
        <v>6</v>
      </c>
      <c r="CE64" s="8">
        <v>7</v>
      </c>
      <c r="CF64" s="8">
        <v>4</v>
      </c>
      <c r="CG64" s="8">
        <v>7</v>
      </c>
      <c r="CH64" s="8">
        <v>6</v>
      </c>
      <c r="CI64" s="8">
        <v>-2</v>
      </c>
      <c r="CJ64" s="8">
        <v>-8</v>
      </c>
      <c r="CK64" s="8">
        <v>-1</v>
      </c>
      <c r="CL64" s="8">
        <v>6</v>
      </c>
      <c r="CM64" s="8">
        <v>-1</v>
      </c>
      <c r="CN64" s="8">
        <v>0</v>
      </c>
      <c r="CO64" s="8">
        <v>-2</v>
      </c>
      <c r="CP64" s="8">
        <v>-3</v>
      </c>
      <c r="CQ64" s="8">
        <v>-1</v>
      </c>
      <c r="CR64" s="8">
        <v>0</v>
      </c>
      <c r="CS64" s="8">
        <v>-1</v>
      </c>
      <c r="CT64" s="8">
        <v>-3</v>
      </c>
      <c r="CU64" s="8">
        <v>0</v>
      </c>
      <c r="CV64" s="8">
        <v>1</v>
      </c>
      <c r="CW64" s="8">
        <v>-1</v>
      </c>
      <c r="CX64" s="8">
        <v>0</v>
      </c>
      <c r="CY64" s="8">
        <v>1</v>
      </c>
      <c r="CZ64" s="8">
        <v>-1</v>
      </c>
      <c r="DA64" s="10"/>
      <c r="DB64" s="10"/>
      <c r="DC64" s="10"/>
      <c r="DD64" s="10"/>
      <c r="DE64" s="10"/>
    </row>
    <row r="65" spans="1:109" x14ac:dyDescent="0.3">
      <c r="A65" s="10">
        <v>2014</v>
      </c>
      <c r="C65" s="8">
        <v>494</v>
      </c>
      <c r="D65" s="8">
        <v>905</v>
      </c>
      <c r="E65" s="8">
        <v>663</v>
      </c>
      <c r="F65" s="8">
        <v>493</v>
      </c>
      <c r="G65" s="8">
        <v>382</v>
      </c>
      <c r="H65" s="8">
        <v>400</v>
      </c>
      <c r="I65" s="8">
        <v>342</v>
      </c>
      <c r="J65" s="8">
        <v>351</v>
      </c>
      <c r="K65" s="8">
        <v>342</v>
      </c>
      <c r="L65" s="8">
        <v>355</v>
      </c>
      <c r="M65" s="8">
        <v>332</v>
      </c>
      <c r="N65" s="8">
        <v>362</v>
      </c>
      <c r="O65" s="8">
        <v>359</v>
      </c>
      <c r="P65" s="8">
        <v>370</v>
      </c>
      <c r="Q65" s="8">
        <v>367</v>
      </c>
      <c r="R65" s="8">
        <v>395</v>
      </c>
      <c r="S65" s="8">
        <v>650</v>
      </c>
      <c r="T65" s="8">
        <v>615</v>
      </c>
      <c r="U65" s="8">
        <v>496</v>
      </c>
      <c r="V65" s="8">
        <v>587</v>
      </c>
      <c r="W65" s="8">
        <v>768</v>
      </c>
      <c r="X65" s="8">
        <v>1041</v>
      </c>
      <c r="Y65" s="8">
        <v>1084</v>
      </c>
      <c r="Z65" s="8">
        <v>1358</v>
      </c>
      <c r="AA65" s="8">
        <v>1658</v>
      </c>
      <c r="AB65" s="8">
        <v>1934</v>
      </c>
      <c r="AC65" s="8">
        <v>2061</v>
      </c>
      <c r="AD65" s="8">
        <v>1806</v>
      </c>
      <c r="AE65" s="8">
        <v>1751</v>
      </c>
      <c r="AF65" s="8">
        <v>1613</v>
      </c>
      <c r="AG65" s="8">
        <v>1417</v>
      </c>
      <c r="AH65" s="8">
        <v>1155</v>
      </c>
      <c r="AI65" s="8">
        <v>1080</v>
      </c>
      <c r="AJ65" s="8">
        <v>1000</v>
      </c>
      <c r="AK65" s="8">
        <v>936</v>
      </c>
      <c r="AL65" s="8">
        <v>828</v>
      </c>
      <c r="AM65" s="8">
        <v>778</v>
      </c>
      <c r="AN65" s="8">
        <v>652</v>
      </c>
      <c r="AO65" s="8">
        <v>743</v>
      </c>
      <c r="AP65" s="8">
        <v>621</v>
      </c>
      <c r="AQ65" s="8">
        <v>557</v>
      </c>
      <c r="AR65" s="8">
        <v>499</v>
      </c>
      <c r="AS65" s="8">
        <v>455</v>
      </c>
      <c r="AT65" s="8">
        <v>392</v>
      </c>
      <c r="AU65" s="8">
        <v>335</v>
      </c>
      <c r="AV65" s="8">
        <v>328</v>
      </c>
      <c r="AW65" s="8">
        <v>231</v>
      </c>
      <c r="AX65" s="8">
        <v>297</v>
      </c>
      <c r="AY65" s="8">
        <v>231</v>
      </c>
      <c r="AZ65" s="8">
        <v>186</v>
      </c>
      <c r="BA65" s="8">
        <v>180</v>
      </c>
      <c r="BB65" s="8">
        <v>133</v>
      </c>
      <c r="BC65" s="8">
        <v>124</v>
      </c>
      <c r="BD65" s="8">
        <v>116</v>
      </c>
      <c r="BE65" s="8">
        <v>104</v>
      </c>
      <c r="BF65" s="8">
        <v>74</v>
      </c>
      <c r="BG65" s="8">
        <v>61</v>
      </c>
      <c r="BH65" s="8">
        <v>38</v>
      </c>
      <c r="BI65" s="8">
        <v>12</v>
      </c>
      <c r="BJ65" s="8">
        <v>46</v>
      </c>
      <c r="BK65" s="8">
        <v>23</v>
      </c>
      <c r="BL65" s="8">
        <v>37</v>
      </c>
      <c r="BM65" s="8">
        <v>-5</v>
      </c>
      <c r="BN65" s="8">
        <v>-10</v>
      </c>
      <c r="BO65" s="8">
        <v>4</v>
      </c>
      <c r="BP65" s="8">
        <v>-26</v>
      </c>
      <c r="BQ65" s="8">
        <v>5</v>
      </c>
      <c r="BR65" s="8">
        <v>-16</v>
      </c>
      <c r="BS65" s="8">
        <v>-6</v>
      </c>
      <c r="BT65" s="8">
        <v>7</v>
      </c>
      <c r="BU65" s="8">
        <v>-7</v>
      </c>
      <c r="BV65" s="8">
        <v>3</v>
      </c>
      <c r="BW65" s="8">
        <v>14</v>
      </c>
      <c r="BX65" s="8">
        <v>9</v>
      </c>
      <c r="BY65" s="8">
        <v>8</v>
      </c>
      <c r="BZ65" s="8">
        <v>21</v>
      </c>
      <c r="CA65" s="8">
        <v>8</v>
      </c>
      <c r="CB65" s="8">
        <v>33</v>
      </c>
      <c r="CC65" s="8">
        <v>16</v>
      </c>
      <c r="CD65" s="8">
        <v>11</v>
      </c>
      <c r="CE65" s="8">
        <v>17</v>
      </c>
      <c r="CF65" s="8">
        <v>7</v>
      </c>
      <c r="CG65" s="8">
        <v>8</v>
      </c>
      <c r="CH65" s="8">
        <v>-1</v>
      </c>
      <c r="CI65" s="8">
        <v>6</v>
      </c>
      <c r="CJ65" s="8">
        <v>6</v>
      </c>
      <c r="CK65" s="8">
        <v>0</v>
      </c>
      <c r="CL65" s="8">
        <v>1</v>
      </c>
      <c r="CM65" s="8">
        <v>6</v>
      </c>
      <c r="CN65" s="8">
        <v>3</v>
      </c>
      <c r="CO65" s="8">
        <v>-1</v>
      </c>
      <c r="CP65" s="8">
        <v>4</v>
      </c>
      <c r="CQ65" s="8">
        <v>3</v>
      </c>
      <c r="CR65" s="8">
        <v>-1</v>
      </c>
      <c r="CS65" s="8">
        <v>0</v>
      </c>
      <c r="CT65" s="8">
        <v>-1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10"/>
      <c r="DB65" s="10"/>
      <c r="DC65" s="10"/>
      <c r="DD65" s="10"/>
      <c r="DE65" s="10"/>
    </row>
    <row r="66" spans="1:109" x14ac:dyDescent="0.3">
      <c r="A66" s="10">
        <v>2015</v>
      </c>
      <c r="C66" s="8">
        <v>434</v>
      </c>
      <c r="D66" s="8">
        <v>811</v>
      </c>
      <c r="E66" s="8">
        <v>374</v>
      </c>
      <c r="F66" s="8">
        <v>380</v>
      </c>
      <c r="G66" s="8">
        <v>313</v>
      </c>
      <c r="H66" s="8">
        <v>376</v>
      </c>
      <c r="I66" s="8">
        <v>318</v>
      </c>
      <c r="J66" s="8">
        <v>401</v>
      </c>
      <c r="K66" s="8">
        <v>402</v>
      </c>
      <c r="L66" s="8">
        <v>414</v>
      </c>
      <c r="M66" s="8">
        <v>489</v>
      </c>
      <c r="N66" s="8">
        <v>454</v>
      </c>
      <c r="O66" s="8">
        <v>401</v>
      </c>
      <c r="P66" s="8">
        <v>448</v>
      </c>
      <c r="Q66" s="8">
        <v>482</v>
      </c>
      <c r="R66" s="8">
        <v>554</v>
      </c>
      <c r="S66" s="8">
        <v>724</v>
      </c>
      <c r="T66" s="8">
        <v>745</v>
      </c>
      <c r="U66" s="8">
        <v>520</v>
      </c>
      <c r="V66" s="8">
        <v>488</v>
      </c>
      <c r="W66" s="8">
        <v>555</v>
      </c>
      <c r="X66" s="8">
        <v>769</v>
      </c>
      <c r="Y66" s="8">
        <v>779</v>
      </c>
      <c r="Z66" s="8">
        <v>1087</v>
      </c>
      <c r="AA66" s="8">
        <v>1069</v>
      </c>
      <c r="AB66" s="8">
        <v>1426</v>
      </c>
      <c r="AC66" s="8">
        <v>1544</v>
      </c>
      <c r="AD66" s="8">
        <v>1495</v>
      </c>
      <c r="AE66" s="8">
        <v>1261</v>
      </c>
      <c r="AF66" s="8">
        <v>1227</v>
      </c>
      <c r="AG66" s="8">
        <v>1026</v>
      </c>
      <c r="AH66" s="8">
        <v>891</v>
      </c>
      <c r="AI66" s="8">
        <v>643</v>
      </c>
      <c r="AJ66" s="8">
        <v>743</v>
      </c>
      <c r="AK66" s="8">
        <v>565</v>
      </c>
      <c r="AL66" s="8">
        <v>670</v>
      </c>
      <c r="AM66" s="8">
        <v>479</v>
      </c>
      <c r="AN66" s="8">
        <v>526</v>
      </c>
      <c r="AO66" s="8">
        <v>439</v>
      </c>
      <c r="AP66" s="8">
        <v>393</v>
      </c>
      <c r="AQ66" s="8">
        <v>426</v>
      </c>
      <c r="AR66" s="8">
        <v>417</v>
      </c>
      <c r="AS66" s="8">
        <v>303</v>
      </c>
      <c r="AT66" s="8">
        <v>316</v>
      </c>
      <c r="AU66" s="8">
        <v>219</v>
      </c>
      <c r="AV66" s="8">
        <v>256</v>
      </c>
      <c r="AW66" s="8">
        <v>193</v>
      </c>
      <c r="AX66" s="8">
        <v>169</v>
      </c>
      <c r="AY66" s="8">
        <v>128</v>
      </c>
      <c r="AZ66" s="8">
        <v>84</v>
      </c>
      <c r="BA66" s="8">
        <v>105</v>
      </c>
      <c r="BB66" s="8">
        <v>31</v>
      </c>
      <c r="BC66" s="8">
        <v>72</v>
      </c>
      <c r="BD66" s="8">
        <v>66</v>
      </c>
      <c r="BE66" s="8">
        <v>21</v>
      </c>
      <c r="BF66" s="8">
        <v>29</v>
      </c>
      <c r="BG66" s="8">
        <v>-34</v>
      </c>
      <c r="BH66" s="8">
        <v>3</v>
      </c>
      <c r="BI66" s="8">
        <v>-11</v>
      </c>
      <c r="BJ66" s="8">
        <v>-17</v>
      </c>
      <c r="BK66" s="8">
        <v>-22</v>
      </c>
      <c r="BL66" s="8">
        <v>-32</v>
      </c>
      <c r="BM66" s="8">
        <v>-38</v>
      </c>
      <c r="BN66" s="8">
        <v>-57</v>
      </c>
      <c r="BO66" s="8">
        <v>-41</v>
      </c>
      <c r="BP66" s="8">
        <v>-28</v>
      </c>
      <c r="BQ66" s="8">
        <v>-17</v>
      </c>
      <c r="BR66" s="8">
        <v>-36</v>
      </c>
      <c r="BS66" s="8">
        <v>-22</v>
      </c>
      <c r="BT66" s="8">
        <v>0</v>
      </c>
      <c r="BU66" s="8">
        <v>-6</v>
      </c>
      <c r="BV66" s="8">
        <v>16</v>
      </c>
      <c r="BW66" s="8">
        <v>9</v>
      </c>
      <c r="BX66" s="8">
        <v>19</v>
      </c>
      <c r="BY66" s="8">
        <v>29</v>
      </c>
      <c r="BZ66" s="8">
        <v>21</v>
      </c>
      <c r="CA66" s="8">
        <v>14</v>
      </c>
      <c r="CB66" s="8">
        <v>19</v>
      </c>
      <c r="CC66" s="8">
        <v>3</v>
      </c>
      <c r="CD66" s="8">
        <v>8</v>
      </c>
      <c r="CE66" s="8">
        <v>7</v>
      </c>
      <c r="CF66" s="8">
        <v>10</v>
      </c>
      <c r="CG66" s="8">
        <v>8</v>
      </c>
      <c r="CH66" s="8">
        <v>8</v>
      </c>
      <c r="CI66" s="8">
        <v>5</v>
      </c>
      <c r="CJ66" s="8">
        <v>1</v>
      </c>
      <c r="CK66" s="8">
        <v>7</v>
      </c>
      <c r="CL66" s="8">
        <v>2</v>
      </c>
      <c r="CM66" s="8">
        <v>1</v>
      </c>
      <c r="CN66" s="8">
        <v>0</v>
      </c>
      <c r="CO66" s="8">
        <v>0</v>
      </c>
      <c r="CP66" s="8">
        <v>-3</v>
      </c>
      <c r="CQ66" s="8">
        <v>-2</v>
      </c>
      <c r="CR66" s="8">
        <v>-1</v>
      </c>
      <c r="CS66" s="8">
        <v>0</v>
      </c>
      <c r="CT66" s="8">
        <v>1</v>
      </c>
      <c r="CU66" s="8">
        <v>3</v>
      </c>
      <c r="CV66" s="8">
        <v>1</v>
      </c>
      <c r="CW66" s="8">
        <v>0</v>
      </c>
      <c r="CX66" s="8">
        <v>0</v>
      </c>
      <c r="CY66" s="8">
        <v>1</v>
      </c>
      <c r="CZ66" s="8">
        <v>0</v>
      </c>
      <c r="DA66" s="10"/>
      <c r="DB66" s="10"/>
      <c r="DC66" s="10"/>
      <c r="DD66" s="10"/>
      <c r="DE66" s="10"/>
    </row>
    <row r="67" spans="1:109" x14ac:dyDescent="0.3">
      <c r="A67" s="10">
        <v>2016</v>
      </c>
      <c r="C67" s="8">
        <v>509</v>
      </c>
      <c r="D67" s="8">
        <v>728</v>
      </c>
      <c r="E67" s="8">
        <v>494</v>
      </c>
      <c r="F67" s="8">
        <v>347</v>
      </c>
      <c r="G67" s="8">
        <v>320</v>
      </c>
      <c r="H67" s="8">
        <v>308</v>
      </c>
      <c r="I67" s="8">
        <v>310</v>
      </c>
      <c r="J67" s="8">
        <v>425</v>
      </c>
      <c r="K67" s="8">
        <v>450</v>
      </c>
      <c r="L67" s="8">
        <v>414</v>
      </c>
      <c r="M67" s="8">
        <v>454</v>
      </c>
      <c r="N67" s="8">
        <v>417</v>
      </c>
      <c r="O67" s="8">
        <v>471</v>
      </c>
      <c r="P67" s="8">
        <v>513</v>
      </c>
      <c r="Q67" s="8">
        <v>558</v>
      </c>
      <c r="R67" s="8">
        <v>754</v>
      </c>
      <c r="S67" s="8">
        <v>979</v>
      </c>
      <c r="T67" s="8">
        <v>1011</v>
      </c>
      <c r="U67" s="8">
        <v>739</v>
      </c>
      <c r="V67" s="8">
        <v>518</v>
      </c>
      <c r="W67" s="8">
        <v>700</v>
      </c>
      <c r="X67" s="8">
        <v>859</v>
      </c>
      <c r="Y67" s="8">
        <v>894</v>
      </c>
      <c r="Z67" s="8">
        <v>953</v>
      </c>
      <c r="AA67" s="8">
        <v>1106</v>
      </c>
      <c r="AB67" s="8">
        <v>1272</v>
      </c>
      <c r="AC67" s="8">
        <v>1305</v>
      </c>
      <c r="AD67" s="8">
        <v>1140</v>
      </c>
      <c r="AE67" s="8">
        <v>1038</v>
      </c>
      <c r="AF67" s="8">
        <v>881</v>
      </c>
      <c r="AG67" s="8">
        <v>735</v>
      </c>
      <c r="AH67" s="8">
        <v>584</v>
      </c>
      <c r="AI67" s="8">
        <v>566</v>
      </c>
      <c r="AJ67" s="8">
        <v>410</v>
      </c>
      <c r="AK67" s="8">
        <v>319</v>
      </c>
      <c r="AL67" s="8">
        <v>217</v>
      </c>
      <c r="AM67" s="8">
        <v>438</v>
      </c>
      <c r="AN67" s="8">
        <v>274</v>
      </c>
      <c r="AO67" s="8">
        <v>300</v>
      </c>
      <c r="AP67" s="8">
        <v>245</v>
      </c>
      <c r="AQ67" s="8">
        <v>167</v>
      </c>
      <c r="AR67" s="8">
        <v>158</v>
      </c>
      <c r="AS67" s="8">
        <v>188</v>
      </c>
      <c r="AT67" s="8">
        <v>160</v>
      </c>
      <c r="AU67" s="8">
        <v>139</v>
      </c>
      <c r="AV67" s="8">
        <v>106</v>
      </c>
      <c r="AW67" s="8">
        <v>121</v>
      </c>
      <c r="AX67" s="8">
        <v>43</v>
      </c>
      <c r="AY67" s="8">
        <v>112</v>
      </c>
      <c r="AZ67" s="8">
        <v>39</v>
      </c>
      <c r="BA67" s="8">
        <v>63</v>
      </c>
      <c r="BB67" s="8">
        <v>23</v>
      </c>
      <c r="BC67" s="8">
        <v>19</v>
      </c>
      <c r="BD67" s="8">
        <v>-18</v>
      </c>
      <c r="BE67" s="8">
        <v>-35</v>
      </c>
      <c r="BF67" s="8">
        <v>-13</v>
      </c>
      <c r="BG67" s="8">
        <v>-13</v>
      </c>
      <c r="BH67" s="8">
        <v>-43</v>
      </c>
      <c r="BI67" s="8">
        <v>-10</v>
      </c>
      <c r="BJ67" s="8">
        <v>-33</v>
      </c>
      <c r="BK67" s="8">
        <v>-18</v>
      </c>
      <c r="BL67" s="8">
        <v>-46</v>
      </c>
      <c r="BM67" s="8">
        <v>-54</v>
      </c>
      <c r="BN67" s="8">
        <v>-60</v>
      </c>
      <c r="BO67" s="8">
        <v>-29</v>
      </c>
      <c r="BP67" s="8">
        <v>-44</v>
      </c>
      <c r="BQ67" s="8">
        <v>-6</v>
      </c>
      <c r="BR67" s="8">
        <v>-34</v>
      </c>
      <c r="BS67" s="8">
        <v>-30</v>
      </c>
      <c r="BT67" s="8">
        <v>2</v>
      </c>
      <c r="BU67" s="8">
        <v>26</v>
      </c>
      <c r="BV67" s="8">
        <v>15</v>
      </c>
      <c r="BW67" s="8">
        <v>15</v>
      </c>
      <c r="BX67" s="8">
        <v>5</v>
      </c>
      <c r="BY67" s="8">
        <v>27</v>
      </c>
      <c r="BZ67" s="8">
        <v>16</v>
      </c>
      <c r="CA67" s="8">
        <v>29</v>
      </c>
      <c r="CB67" s="8">
        <v>9</v>
      </c>
      <c r="CC67" s="8">
        <v>11</v>
      </c>
      <c r="CD67" s="8">
        <v>10</v>
      </c>
      <c r="CE67" s="8">
        <v>17</v>
      </c>
      <c r="CF67" s="8">
        <v>16</v>
      </c>
      <c r="CG67" s="8">
        <v>5</v>
      </c>
      <c r="CH67" s="8">
        <v>9</v>
      </c>
      <c r="CI67" s="8">
        <v>8</v>
      </c>
      <c r="CJ67" s="8">
        <v>7</v>
      </c>
      <c r="CK67" s="8">
        <v>0</v>
      </c>
      <c r="CL67" s="8">
        <v>4</v>
      </c>
      <c r="CM67" s="8">
        <v>0</v>
      </c>
      <c r="CN67" s="8">
        <v>6</v>
      </c>
      <c r="CO67" s="8">
        <v>0</v>
      </c>
      <c r="CP67" s="8">
        <v>4</v>
      </c>
      <c r="CQ67" s="8">
        <v>2</v>
      </c>
      <c r="CR67" s="8">
        <v>4</v>
      </c>
      <c r="CS67" s="8">
        <v>1</v>
      </c>
      <c r="CT67" s="8">
        <v>-1</v>
      </c>
      <c r="CU67" s="8">
        <v>-1</v>
      </c>
      <c r="CV67" s="8">
        <v>1</v>
      </c>
      <c r="CW67" s="8">
        <v>-1</v>
      </c>
      <c r="CX67" s="8">
        <v>1</v>
      </c>
      <c r="CY67" s="8">
        <v>0</v>
      </c>
      <c r="CZ67" s="8">
        <v>0</v>
      </c>
      <c r="DA67" s="10"/>
      <c r="DB67" s="10"/>
      <c r="DC67" s="10"/>
      <c r="DD67" s="10"/>
      <c r="DE67" s="10"/>
    </row>
    <row r="68" spans="1:109" x14ac:dyDescent="0.3">
      <c r="A68" s="10">
        <v>2017</v>
      </c>
      <c r="C68" s="8">
        <v>378</v>
      </c>
      <c r="D68" s="8">
        <v>838</v>
      </c>
      <c r="E68" s="8">
        <v>485</v>
      </c>
      <c r="F68" s="8">
        <v>358</v>
      </c>
      <c r="G68" s="8">
        <v>352</v>
      </c>
      <c r="H68" s="8">
        <v>260</v>
      </c>
      <c r="I68" s="8">
        <v>270</v>
      </c>
      <c r="J68" s="8">
        <v>294</v>
      </c>
      <c r="K68" s="8">
        <v>312</v>
      </c>
      <c r="L68" s="8">
        <v>387</v>
      </c>
      <c r="M68" s="8">
        <v>396</v>
      </c>
      <c r="N68" s="8">
        <v>400</v>
      </c>
      <c r="O68" s="8">
        <v>355</v>
      </c>
      <c r="P68" s="8">
        <v>376</v>
      </c>
      <c r="Q68" s="8">
        <v>322</v>
      </c>
      <c r="R68" s="8">
        <v>402</v>
      </c>
      <c r="S68" s="8">
        <v>500</v>
      </c>
      <c r="T68" s="8">
        <v>649</v>
      </c>
      <c r="U68" s="8">
        <v>634</v>
      </c>
      <c r="V68" s="8">
        <v>363</v>
      </c>
      <c r="W68" s="8">
        <v>437</v>
      </c>
      <c r="X68" s="8">
        <v>530</v>
      </c>
      <c r="Y68" s="8">
        <v>536</v>
      </c>
      <c r="Z68" s="8">
        <v>743</v>
      </c>
      <c r="AA68" s="8">
        <v>991</v>
      </c>
      <c r="AB68" s="8">
        <v>1265</v>
      </c>
      <c r="AC68" s="8">
        <v>1174</v>
      </c>
      <c r="AD68" s="8">
        <v>993</v>
      </c>
      <c r="AE68" s="8">
        <v>964</v>
      </c>
      <c r="AF68" s="8">
        <v>755</v>
      </c>
      <c r="AG68" s="8">
        <v>627</v>
      </c>
      <c r="AH68" s="8">
        <v>511</v>
      </c>
      <c r="AI68" s="8">
        <v>472</v>
      </c>
      <c r="AJ68" s="8">
        <v>474</v>
      </c>
      <c r="AK68" s="8">
        <v>372</v>
      </c>
      <c r="AL68" s="8">
        <v>406</v>
      </c>
      <c r="AM68" s="8">
        <v>339</v>
      </c>
      <c r="AN68" s="8">
        <v>290</v>
      </c>
      <c r="AO68" s="8">
        <v>188</v>
      </c>
      <c r="AP68" s="8">
        <v>202</v>
      </c>
      <c r="AQ68" s="8">
        <v>191</v>
      </c>
      <c r="AR68" s="8">
        <v>160</v>
      </c>
      <c r="AS68" s="8">
        <v>141</v>
      </c>
      <c r="AT68" s="8">
        <v>108</v>
      </c>
      <c r="AU68" s="8">
        <v>73</v>
      </c>
      <c r="AV68" s="8">
        <v>83</v>
      </c>
      <c r="AW68" s="8">
        <v>75</v>
      </c>
      <c r="AX68" s="8">
        <v>58</v>
      </c>
      <c r="AY68" s="8">
        <v>61</v>
      </c>
      <c r="AZ68" s="8">
        <v>52</v>
      </c>
      <c r="BA68" s="8">
        <v>69</v>
      </c>
      <c r="BB68" s="8">
        <v>-25</v>
      </c>
      <c r="BC68" s="8">
        <v>33</v>
      </c>
      <c r="BD68" s="8">
        <v>-10</v>
      </c>
      <c r="BE68" s="8">
        <v>-1</v>
      </c>
      <c r="BF68" s="8">
        <v>5</v>
      </c>
      <c r="BG68" s="8">
        <v>-16</v>
      </c>
      <c r="BH68" s="8">
        <v>-17</v>
      </c>
      <c r="BI68" s="8">
        <v>-50</v>
      </c>
      <c r="BJ68" s="8">
        <v>-30</v>
      </c>
      <c r="BK68" s="8">
        <v>-24</v>
      </c>
      <c r="BL68" s="8">
        <v>-42</v>
      </c>
      <c r="BM68" s="8">
        <v>-31</v>
      </c>
      <c r="BN68" s="8">
        <v>-43</v>
      </c>
      <c r="BO68" s="8">
        <v>-33</v>
      </c>
      <c r="BP68" s="8">
        <v>-53</v>
      </c>
      <c r="BQ68" s="8">
        <v>-33</v>
      </c>
      <c r="BR68" s="8">
        <v>-77</v>
      </c>
      <c r="BS68" s="8">
        <v>-20</v>
      </c>
      <c r="BT68" s="8">
        <v>-8</v>
      </c>
      <c r="BU68" s="8">
        <v>11</v>
      </c>
      <c r="BV68" s="8">
        <v>-18</v>
      </c>
      <c r="BW68" s="8">
        <v>1</v>
      </c>
      <c r="BX68" s="8">
        <v>12</v>
      </c>
      <c r="BY68" s="8">
        <v>8</v>
      </c>
      <c r="BZ68" s="8">
        <v>9</v>
      </c>
      <c r="CA68" s="8">
        <v>27</v>
      </c>
      <c r="CB68" s="8">
        <v>16</v>
      </c>
      <c r="CC68" s="8">
        <v>20</v>
      </c>
      <c r="CD68" s="8">
        <v>20</v>
      </c>
      <c r="CE68" s="8">
        <v>5</v>
      </c>
      <c r="CF68" s="8">
        <v>2</v>
      </c>
      <c r="CG68" s="8">
        <v>9</v>
      </c>
      <c r="CH68" s="8">
        <v>5</v>
      </c>
      <c r="CI68" s="8">
        <v>1</v>
      </c>
      <c r="CJ68" s="8">
        <v>9</v>
      </c>
      <c r="CK68" s="8">
        <v>11</v>
      </c>
      <c r="CL68" s="8">
        <v>-7</v>
      </c>
      <c r="CM68" s="8">
        <v>1</v>
      </c>
      <c r="CN68" s="8">
        <v>3</v>
      </c>
      <c r="CO68" s="8">
        <v>-2</v>
      </c>
      <c r="CP68" s="8">
        <v>-1</v>
      </c>
      <c r="CQ68" s="8">
        <v>-1</v>
      </c>
      <c r="CR68" s="8">
        <v>-2</v>
      </c>
      <c r="CS68" s="8">
        <v>-1</v>
      </c>
      <c r="CT68" s="8">
        <v>0</v>
      </c>
      <c r="CU68" s="8">
        <v>3</v>
      </c>
      <c r="CV68" s="8">
        <v>2</v>
      </c>
      <c r="CW68" s="8">
        <v>-2</v>
      </c>
      <c r="CX68" s="8">
        <v>0</v>
      </c>
      <c r="CY68" s="8">
        <v>4</v>
      </c>
      <c r="CZ68" s="8">
        <v>0</v>
      </c>
      <c r="DA68" s="10"/>
      <c r="DB68" s="10"/>
      <c r="DC68" s="10"/>
      <c r="DD68" s="10"/>
      <c r="DE68" s="10"/>
    </row>
    <row r="69" spans="1:109" x14ac:dyDescent="0.3">
      <c r="A69" s="10">
        <v>2018</v>
      </c>
      <c r="C69" s="8">
        <v>307</v>
      </c>
      <c r="D69" s="8">
        <v>617</v>
      </c>
      <c r="E69" s="8">
        <v>270</v>
      </c>
      <c r="F69" s="8">
        <v>115</v>
      </c>
      <c r="G69" s="8">
        <v>75</v>
      </c>
      <c r="H69" s="8">
        <v>123</v>
      </c>
      <c r="I69" s="8">
        <v>75</v>
      </c>
      <c r="J69" s="8">
        <v>76</v>
      </c>
      <c r="K69" s="8">
        <v>160</v>
      </c>
      <c r="L69" s="8">
        <v>185</v>
      </c>
      <c r="M69" s="8">
        <v>251</v>
      </c>
      <c r="N69" s="8">
        <v>269</v>
      </c>
      <c r="O69" s="8">
        <v>280</v>
      </c>
      <c r="P69" s="8">
        <v>296</v>
      </c>
      <c r="Q69" s="8">
        <v>290</v>
      </c>
      <c r="R69" s="8">
        <v>286</v>
      </c>
      <c r="S69" s="8">
        <v>379</v>
      </c>
      <c r="T69" s="8">
        <v>362</v>
      </c>
      <c r="U69" s="8">
        <v>431</v>
      </c>
      <c r="V69" s="8">
        <v>250</v>
      </c>
      <c r="W69" s="8">
        <v>375</v>
      </c>
      <c r="X69" s="8">
        <v>466</v>
      </c>
      <c r="Y69" s="8">
        <v>680</v>
      </c>
      <c r="Z69" s="8">
        <v>669</v>
      </c>
      <c r="AA69" s="8">
        <v>901</v>
      </c>
      <c r="AB69" s="8">
        <v>1072</v>
      </c>
      <c r="AC69" s="8">
        <v>1076</v>
      </c>
      <c r="AD69" s="8">
        <v>1094</v>
      </c>
      <c r="AE69" s="8">
        <v>979</v>
      </c>
      <c r="AF69" s="8">
        <v>775</v>
      </c>
      <c r="AG69" s="8">
        <v>693</v>
      </c>
      <c r="AH69" s="8">
        <v>569</v>
      </c>
      <c r="AI69" s="8">
        <v>393</v>
      </c>
      <c r="AJ69" s="8">
        <v>428</v>
      </c>
      <c r="AK69" s="8">
        <v>270</v>
      </c>
      <c r="AL69" s="8">
        <v>308</v>
      </c>
      <c r="AM69" s="8">
        <v>228</v>
      </c>
      <c r="AN69" s="8">
        <v>212</v>
      </c>
      <c r="AO69" s="8">
        <v>202</v>
      </c>
      <c r="AP69" s="8">
        <v>241</v>
      </c>
      <c r="AQ69" s="8">
        <v>205</v>
      </c>
      <c r="AR69" s="8">
        <v>90</v>
      </c>
      <c r="AS69" s="8">
        <v>138</v>
      </c>
      <c r="AT69" s="8">
        <v>234</v>
      </c>
      <c r="AU69" s="8">
        <v>198</v>
      </c>
      <c r="AV69" s="8">
        <v>83</v>
      </c>
      <c r="AW69" s="8">
        <v>153</v>
      </c>
      <c r="AX69" s="8">
        <v>113</v>
      </c>
      <c r="AY69" s="8">
        <v>74</v>
      </c>
      <c r="AZ69" s="8">
        <v>51</v>
      </c>
      <c r="BA69" s="8">
        <v>27</v>
      </c>
      <c r="BB69" s="8">
        <v>80</v>
      </c>
      <c r="BC69" s="8">
        <v>35</v>
      </c>
      <c r="BD69" s="8">
        <v>-22</v>
      </c>
      <c r="BE69" s="8">
        <v>13</v>
      </c>
      <c r="BF69" s="8">
        <v>-19</v>
      </c>
      <c r="BG69" s="8">
        <v>42</v>
      </c>
      <c r="BH69" s="8">
        <v>-32</v>
      </c>
      <c r="BI69" s="8">
        <v>-43</v>
      </c>
      <c r="BJ69" s="8">
        <v>-38</v>
      </c>
      <c r="BK69" s="8">
        <v>-6</v>
      </c>
      <c r="BL69" s="8">
        <v>-36</v>
      </c>
      <c r="BM69" s="8">
        <v>-35</v>
      </c>
      <c r="BN69" s="8">
        <v>-80</v>
      </c>
      <c r="BO69" s="8">
        <v>-33</v>
      </c>
      <c r="BP69" s="8">
        <v>-28</v>
      </c>
      <c r="BQ69" s="8">
        <v>-14</v>
      </c>
      <c r="BR69" s="8">
        <v>-35</v>
      </c>
      <c r="BS69" s="8">
        <v>8</v>
      </c>
      <c r="BT69" s="8">
        <v>5</v>
      </c>
      <c r="BU69" s="8">
        <v>12</v>
      </c>
      <c r="BV69" s="8">
        <v>7</v>
      </c>
      <c r="BW69" s="8">
        <v>16</v>
      </c>
      <c r="BX69" s="8">
        <v>17</v>
      </c>
      <c r="BY69" s="8">
        <v>25</v>
      </c>
      <c r="BZ69" s="8">
        <v>6</v>
      </c>
      <c r="CA69" s="8">
        <v>31</v>
      </c>
      <c r="CB69" s="8">
        <v>5</v>
      </c>
      <c r="CC69" s="8">
        <v>32</v>
      </c>
      <c r="CD69" s="8">
        <v>10</v>
      </c>
      <c r="CE69" s="8">
        <v>13</v>
      </c>
      <c r="CF69" s="8">
        <v>8</v>
      </c>
      <c r="CG69" s="8">
        <v>0</v>
      </c>
      <c r="CH69" s="8">
        <v>11</v>
      </c>
      <c r="CI69" s="8">
        <v>2</v>
      </c>
      <c r="CJ69" s="8">
        <v>12</v>
      </c>
      <c r="CK69" s="8">
        <v>-2</v>
      </c>
      <c r="CL69" s="8">
        <v>4</v>
      </c>
      <c r="CM69" s="8">
        <v>5</v>
      </c>
      <c r="CN69" s="8">
        <v>-1</v>
      </c>
      <c r="CO69" s="8">
        <v>3</v>
      </c>
      <c r="CP69" s="8">
        <v>-1</v>
      </c>
      <c r="CQ69" s="8">
        <v>1</v>
      </c>
      <c r="CR69" s="8">
        <v>2</v>
      </c>
      <c r="CS69" s="8">
        <v>2</v>
      </c>
      <c r="CT69" s="8">
        <v>2</v>
      </c>
      <c r="CU69" s="8">
        <v>0</v>
      </c>
      <c r="CV69" s="8">
        <v>0</v>
      </c>
      <c r="CW69" s="8">
        <v>3</v>
      </c>
      <c r="CX69" s="8">
        <v>3</v>
      </c>
      <c r="CY69" s="8">
        <v>1</v>
      </c>
      <c r="CZ69" s="8">
        <v>0</v>
      </c>
      <c r="DA69" s="10"/>
      <c r="DB69" s="10"/>
      <c r="DC69" s="10"/>
      <c r="DD69" s="10"/>
      <c r="DE69" s="10"/>
    </row>
    <row r="70" spans="1:109" x14ac:dyDescent="0.3">
      <c r="A70" s="10">
        <v>2019</v>
      </c>
      <c r="C70" s="8">
        <v>366</v>
      </c>
      <c r="D70" s="8">
        <v>630</v>
      </c>
      <c r="E70" s="8">
        <v>336</v>
      </c>
      <c r="F70" s="8">
        <v>168</v>
      </c>
      <c r="G70" s="8">
        <v>211</v>
      </c>
      <c r="H70" s="8">
        <v>136</v>
      </c>
      <c r="I70" s="8">
        <v>128</v>
      </c>
      <c r="J70" s="8">
        <v>168</v>
      </c>
      <c r="K70" s="8">
        <v>263</v>
      </c>
      <c r="L70" s="8">
        <v>172</v>
      </c>
      <c r="M70" s="8">
        <v>282</v>
      </c>
      <c r="N70" s="8">
        <v>270</v>
      </c>
      <c r="O70" s="8">
        <v>262</v>
      </c>
      <c r="P70" s="8">
        <v>286</v>
      </c>
      <c r="Q70" s="8">
        <v>260</v>
      </c>
      <c r="R70" s="8">
        <v>248</v>
      </c>
      <c r="S70" s="8">
        <v>390</v>
      </c>
      <c r="T70" s="8">
        <v>325</v>
      </c>
      <c r="U70" s="8">
        <v>378</v>
      </c>
      <c r="V70" s="8">
        <v>264</v>
      </c>
      <c r="W70" s="8">
        <v>257</v>
      </c>
      <c r="X70" s="8">
        <v>290</v>
      </c>
      <c r="Y70" s="8">
        <v>417</v>
      </c>
      <c r="Z70" s="8">
        <v>796</v>
      </c>
      <c r="AA70" s="8">
        <v>1009</v>
      </c>
      <c r="AB70" s="8">
        <v>1224</v>
      </c>
      <c r="AC70" s="8">
        <v>1286</v>
      </c>
      <c r="AD70" s="8">
        <v>1363</v>
      </c>
      <c r="AE70" s="8">
        <v>1242</v>
      </c>
      <c r="AF70" s="8">
        <v>1197</v>
      </c>
      <c r="AG70" s="8">
        <v>1087</v>
      </c>
      <c r="AH70" s="8">
        <v>1000</v>
      </c>
      <c r="AI70" s="8">
        <v>859</v>
      </c>
      <c r="AJ70" s="8">
        <v>861</v>
      </c>
      <c r="AK70" s="8">
        <v>726</v>
      </c>
      <c r="AL70" s="8">
        <v>635</v>
      </c>
      <c r="AM70" s="8">
        <v>631</v>
      </c>
      <c r="AN70" s="8">
        <v>509</v>
      </c>
      <c r="AO70" s="8">
        <v>519</v>
      </c>
      <c r="AP70" s="8">
        <v>414</v>
      </c>
      <c r="AQ70" s="8">
        <v>348</v>
      </c>
      <c r="AR70" s="8">
        <v>303</v>
      </c>
      <c r="AS70" s="8">
        <v>344</v>
      </c>
      <c r="AT70" s="8">
        <v>336</v>
      </c>
      <c r="AU70" s="8">
        <v>251</v>
      </c>
      <c r="AV70" s="8">
        <v>277</v>
      </c>
      <c r="AW70" s="8">
        <v>271</v>
      </c>
      <c r="AX70" s="8">
        <v>263</v>
      </c>
      <c r="AY70" s="8">
        <v>224</v>
      </c>
      <c r="AZ70" s="8">
        <v>165</v>
      </c>
      <c r="BA70" s="8">
        <v>189</v>
      </c>
      <c r="BB70" s="8">
        <v>125</v>
      </c>
      <c r="BC70" s="8">
        <v>86</v>
      </c>
      <c r="BD70" s="8">
        <v>105</v>
      </c>
      <c r="BE70" s="8">
        <v>90</v>
      </c>
      <c r="BF70" s="8">
        <v>51</v>
      </c>
      <c r="BG70" s="8">
        <v>46</v>
      </c>
      <c r="BH70" s="8">
        <v>2</v>
      </c>
      <c r="BI70" s="8">
        <v>34</v>
      </c>
      <c r="BJ70" s="8">
        <v>21</v>
      </c>
      <c r="BK70" s="8">
        <v>5</v>
      </c>
      <c r="BL70" s="8">
        <v>-23</v>
      </c>
      <c r="BM70" s="8">
        <v>-6</v>
      </c>
      <c r="BN70" s="8">
        <v>-43</v>
      </c>
      <c r="BO70" s="8">
        <v>-31</v>
      </c>
      <c r="BP70" s="8">
        <v>-16</v>
      </c>
      <c r="BQ70" s="8">
        <v>-11</v>
      </c>
      <c r="BR70" s="8">
        <v>-72</v>
      </c>
      <c r="BS70" s="8">
        <v>-37</v>
      </c>
      <c r="BT70" s="8">
        <v>-4</v>
      </c>
      <c r="BU70" s="8">
        <v>-16</v>
      </c>
      <c r="BV70" s="8">
        <v>-10</v>
      </c>
      <c r="BW70" s="8">
        <v>16</v>
      </c>
      <c r="BX70" s="8">
        <v>5</v>
      </c>
      <c r="BY70" s="8">
        <v>0</v>
      </c>
      <c r="BZ70" s="8">
        <v>18</v>
      </c>
      <c r="CA70" s="8">
        <v>9</v>
      </c>
      <c r="CB70" s="8">
        <v>21</v>
      </c>
      <c r="CC70" s="8">
        <v>10</v>
      </c>
      <c r="CD70" s="8">
        <v>17</v>
      </c>
      <c r="CE70" s="8">
        <v>16</v>
      </c>
      <c r="CF70" s="8">
        <v>8</v>
      </c>
      <c r="CG70" s="8">
        <v>15</v>
      </c>
      <c r="CH70" s="8">
        <v>4</v>
      </c>
      <c r="CI70" s="8">
        <v>14</v>
      </c>
      <c r="CJ70" s="8">
        <v>2</v>
      </c>
      <c r="CK70" s="8">
        <v>5</v>
      </c>
      <c r="CL70" s="8">
        <v>4</v>
      </c>
      <c r="CM70" s="8">
        <v>10</v>
      </c>
      <c r="CN70" s="8">
        <v>3</v>
      </c>
      <c r="CO70" s="8">
        <v>1</v>
      </c>
      <c r="CP70" s="8">
        <v>4</v>
      </c>
      <c r="CQ70" s="8">
        <v>-1</v>
      </c>
      <c r="CR70" s="8">
        <v>1</v>
      </c>
      <c r="CS70" s="8">
        <v>2</v>
      </c>
      <c r="CT70" s="8">
        <v>1</v>
      </c>
      <c r="CU70" s="8">
        <v>1</v>
      </c>
      <c r="CV70" s="8">
        <v>0</v>
      </c>
      <c r="CW70" s="8">
        <v>0</v>
      </c>
      <c r="CX70" s="8">
        <v>1</v>
      </c>
      <c r="CY70" s="8">
        <v>2</v>
      </c>
      <c r="CZ70" s="8">
        <v>0</v>
      </c>
      <c r="DA70" s="10"/>
      <c r="DB70" s="10"/>
      <c r="DC70" s="10"/>
      <c r="DD70" s="10"/>
      <c r="DE70" s="10"/>
    </row>
    <row r="71" spans="1:109" x14ac:dyDescent="0.3">
      <c r="A71" s="10">
        <v>2020</v>
      </c>
      <c r="C71" s="8">
        <v>177</v>
      </c>
      <c r="D71" s="8">
        <v>355</v>
      </c>
      <c r="E71" s="8">
        <v>106</v>
      </c>
      <c r="F71" s="8">
        <v>20</v>
      </c>
      <c r="G71" s="8">
        <v>14</v>
      </c>
      <c r="H71" s="8">
        <v>17</v>
      </c>
      <c r="I71" s="8">
        <v>-57</v>
      </c>
      <c r="J71" s="8">
        <v>63</v>
      </c>
      <c r="K71" s="8">
        <v>77</v>
      </c>
      <c r="L71" s="8">
        <v>95</v>
      </c>
      <c r="M71" s="8">
        <v>83</v>
      </c>
      <c r="N71" s="8">
        <v>117</v>
      </c>
      <c r="O71" s="8">
        <v>217</v>
      </c>
      <c r="P71" s="8">
        <v>154</v>
      </c>
      <c r="Q71" s="8">
        <v>168</v>
      </c>
      <c r="R71" s="8">
        <v>189</v>
      </c>
      <c r="S71" s="8">
        <v>214</v>
      </c>
      <c r="T71" s="8">
        <v>218</v>
      </c>
      <c r="U71" s="8">
        <v>204</v>
      </c>
      <c r="V71" s="8">
        <v>183</v>
      </c>
      <c r="W71" s="8">
        <v>92</v>
      </c>
      <c r="X71" s="8">
        <v>139</v>
      </c>
      <c r="Y71" s="8">
        <v>210</v>
      </c>
      <c r="Z71" s="8">
        <v>322</v>
      </c>
      <c r="AA71" s="8">
        <v>466</v>
      </c>
      <c r="AB71" s="8">
        <v>669</v>
      </c>
      <c r="AC71" s="8">
        <v>830</v>
      </c>
      <c r="AD71" s="8">
        <v>822</v>
      </c>
      <c r="AE71" s="8">
        <v>642</v>
      </c>
      <c r="AF71" s="8">
        <v>604</v>
      </c>
      <c r="AG71" s="8">
        <v>468</v>
      </c>
      <c r="AH71" s="8">
        <v>332</v>
      </c>
      <c r="AI71" s="8">
        <v>431</v>
      </c>
      <c r="AJ71" s="8">
        <v>278</v>
      </c>
      <c r="AK71" s="8">
        <v>329</v>
      </c>
      <c r="AL71" s="8">
        <v>228</v>
      </c>
      <c r="AM71" s="8">
        <v>77</v>
      </c>
      <c r="AN71" s="8">
        <v>149</v>
      </c>
      <c r="AO71" s="8">
        <v>109</v>
      </c>
      <c r="AP71" s="8">
        <v>183</v>
      </c>
      <c r="AQ71" s="8">
        <v>123</v>
      </c>
      <c r="AR71" s="8">
        <v>115</v>
      </c>
      <c r="AS71" s="8">
        <v>115</v>
      </c>
      <c r="AT71" s="8">
        <v>157</v>
      </c>
      <c r="AU71" s="8">
        <v>51</v>
      </c>
      <c r="AV71" s="8">
        <v>138</v>
      </c>
      <c r="AW71" s="8">
        <v>151</v>
      </c>
      <c r="AX71" s="8">
        <v>99</v>
      </c>
      <c r="AY71" s="8">
        <v>54</v>
      </c>
      <c r="AZ71" s="8">
        <v>61</v>
      </c>
      <c r="BA71" s="8">
        <v>74</v>
      </c>
      <c r="BB71" s="8">
        <v>55</v>
      </c>
      <c r="BC71" s="8">
        <v>38</v>
      </c>
      <c r="BD71" s="8">
        <v>39</v>
      </c>
      <c r="BE71" s="8">
        <v>28</v>
      </c>
      <c r="BF71" s="8">
        <v>40</v>
      </c>
      <c r="BG71" s="8">
        <v>15</v>
      </c>
      <c r="BH71" s="8">
        <v>34</v>
      </c>
      <c r="BI71" s="8">
        <v>14</v>
      </c>
      <c r="BJ71" s="8">
        <v>-25</v>
      </c>
      <c r="BK71" s="8">
        <v>-11</v>
      </c>
      <c r="BL71" s="8">
        <v>-4</v>
      </c>
      <c r="BM71" s="8">
        <v>-21</v>
      </c>
      <c r="BN71" s="8">
        <v>-44</v>
      </c>
      <c r="BO71" s="8">
        <v>-35</v>
      </c>
      <c r="BP71" s="8">
        <v>-67</v>
      </c>
      <c r="BQ71" s="8">
        <v>-37</v>
      </c>
      <c r="BR71" s="8">
        <v>-48</v>
      </c>
      <c r="BS71" s="8">
        <v>-18</v>
      </c>
      <c r="BT71" s="8">
        <v>-42</v>
      </c>
      <c r="BU71" s="8">
        <v>-26</v>
      </c>
      <c r="BV71" s="8">
        <v>-8</v>
      </c>
      <c r="BW71" s="8">
        <v>22</v>
      </c>
      <c r="BX71" s="8">
        <v>11</v>
      </c>
      <c r="BY71" s="8">
        <v>22</v>
      </c>
      <c r="BZ71" s="8">
        <v>18</v>
      </c>
      <c r="CA71" s="8">
        <v>17</v>
      </c>
      <c r="CB71" s="8">
        <v>20</v>
      </c>
      <c r="CC71" s="8">
        <v>6</v>
      </c>
      <c r="CD71" s="8">
        <v>7</v>
      </c>
      <c r="CE71" s="8">
        <v>8</v>
      </c>
      <c r="CF71" s="8">
        <v>13</v>
      </c>
      <c r="CG71" s="8">
        <v>13</v>
      </c>
      <c r="CH71" s="8">
        <v>12</v>
      </c>
      <c r="CI71" s="8">
        <v>11</v>
      </c>
      <c r="CJ71" s="8">
        <v>7</v>
      </c>
      <c r="CK71" s="8">
        <v>4</v>
      </c>
      <c r="CL71" s="8">
        <v>6</v>
      </c>
      <c r="CM71" s="8">
        <v>1</v>
      </c>
      <c r="CN71" s="8">
        <v>0</v>
      </c>
      <c r="CO71" s="8">
        <v>0</v>
      </c>
      <c r="CP71" s="8">
        <v>1</v>
      </c>
      <c r="CQ71" s="8">
        <v>1</v>
      </c>
      <c r="CR71" s="8">
        <v>0</v>
      </c>
      <c r="CS71" s="8">
        <v>0</v>
      </c>
      <c r="CT71" s="8">
        <v>-1</v>
      </c>
      <c r="CU71" s="8">
        <v>0</v>
      </c>
      <c r="CV71" s="8">
        <v>0</v>
      </c>
      <c r="CW71" s="8">
        <v>0</v>
      </c>
      <c r="CX71" s="8">
        <v>1</v>
      </c>
      <c r="CY71" s="8">
        <v>0</v>
      </c>
      <c r="CZ71" s="8">
        <v>0</v>
      </c>
      <c r="DA71" s="10"/>
      <c r="DB71" s="10"/>
      <c r="DC71" s="10"/>
      <c r="DD71" s="10"/>
      <c r="DE71" s="10"/>
    </row>
    <row r="72" spans="1:109" x14ac:dyDescent="0.3">
      <c r="A72" s="10">
        <v>2021</v>
      </c>
      <c r="C72" s="8">
        <v>225</v>
      </c>
      <c r="D72" s="8">
        <v>658</v>
      </c>
      <c r="E72" s="8">
        <v>351</v>
      </c>
      <c r="F72" s="8">
        <v>165</v>
      </c>
      <c r="G72" s="8">
        <v>136</v>
      </c>
      <c r="H72" s="8">
        <v>145</v>
      </c>
      <c r="I72" s="8">
        <v>7</v>
      </c>
      <c r="J72" s="8">
        <v>163</v>
      </c>
      <c r="K72" s="8">
        <v>92</v>
      </c>
      <c r="L72" s="8">
        <v>197</v>
      </c>
      <c r="M72" s="8">
        <v>155</v>
      </c>
      <c r="N72" s="8">
        <v>237</v>
      </c>
      <c r="O72" s="8">
        <v>193</v>
      </c>
      <c r="P72" s="8">
        <v>247</v>
      </c>
      <c r="Q72" s="8">
        <v>238</v>
      </c>
      <c r="R72" s="8">
        <v>308</v>
      </c>
      <c r="S72" s="8">
        <v>314</v>
      </c>
      <c r="T72" s="8">
        <v>307</v>
      </c>
      <c r="U72" s="8">
        <v>241</v>
      </c>
      <c r="V72" s="8">
        <v>225</v>
      </c>
      <c r="W72" s="8">
        <v>282</v>
      </c>
      <c r="X72" s="8">
        <v>464</v>
      </c>
      <c r="Y72" s="8">
        <v>596</v>
      </c>
      <c r="Z72" s="8">
        <v>813</v>
      </c>
      <c r="AA72" s="8">
        <v>1181</v>
      </c>
      <c r="AB72" s="8">
        <v>1386</v>
      </c>
      <c r="AC72" s="8">
        <v>1346</v>
      </c>
      <c r="AD72" s="8">
        <v>1126</v>
      </c>
      <c r="AE72" s="8">
        <v>1137</v>
      </c>
      <c r="AF72" s="8">
        <v>994</v>
      </c>
      <c r="AG72" s="8">
        <v>785</v>
      </c>
      <c r="AH72" s="8">
        <v>718</v>
      </c>
      <c r="AI72" s="8">
        <v>517</v>
      </c>
      <c r="AJ72" s="8">
        <v>550</v>
      </c>
      <c r="AK72" s="8">
        <v>424</v>
      </c>
      <c r="AL72" s="8">
        <v>237</v>
      </c>
      <c r="AM72" s="8">
        <v>343</v>
      </c>
      <c r="AN72" s="8">
        <v>177</v>
      </c>
      <c r="AO72" s="8">
        <v>219</v>
      </c>
      <c r="AP72" s="8">
        <v>188</v>
      </c>
      <c r="AQ72" s="8">
        <v>128</v>
      </c>
      <c r="AR72" s="8">
        <v>201</v>
      </c>
      <c r="AS72" s="8">
        <v>114</v>
      </c>
      <c r="AT72" s="8">
        <v>200</v>
      </c>
      <c r="AU72" s="8">
        <v>136</v>
      </c>
      <c r="AV72" s="8">
        <v>112</v>
      </c>
      <c r="AW72" s="8">
        <v>172</v>
      </c>
      <c r="AX72" s="8">
        <v>150</v>
      </c>
      <c r="AY72" s="8">
        <v>62</v>
      </c>
      <c r="AZ72" s="8">
        <v>134</v>
      </c>
      <c r="BA72" s="8">
        <v>155</v>
      </c>
      <c r="BB72" s="8">
        <v>145</v>
      </c>
      <c r="BC72" s="8">
        <v>62</v>
      </c>
      <c r="BD72" s="8">
        <v>95</v>
      </c>
      <c r="BE72" s="8">
        <v>46</v>
      </c>
      <c r="BF72" s="8">
        <v>-22</v>
      </c>
      <c r="BG72" s="8">
        <v>3</v>
      </c>
      <c r="BH72" s="8">
        <v>-12</v>
      </c>
      <c r="BI72" s="8">
        <v>11</v>
      </c>
      <c r="BJ72" s="8">
        <v>22</v>
      </c>
      <c r="BK72" s="8">
        <v>5</v>
      </c>
      <c r="BL72" s="8">
        <v>-6</v>
      </c>
      <c r="BM72" s="8">
        <v>-47</v>
      </c>
      <c r="BN72" s="8">
        <v>-53</v>
      </c>
      <c r="BO72" s="8">
        <v>-47</v>
      </c>
      <c r="BP72" s="8">
        <v>-47</v>
      </c>
      <c r="BQ72" s="8">
        <v>-83</v>
      </c>
      <c r="BR72" s="8">
        <v>-69</v>
      </c>
      <c r="BS72" s="8">
        <v>-71</v>
      </c>
      <c r="BT72" s="8">
        <v>-14</v>
      </c>
      <c r="BU72" s="8">
        <v>-10</v>
      </c>
      <c r="BV72" s="8">
        <v>1</v>
      </c>
      <c r="BW72" s="8">
        <v>1</v>
      </c>
      <c r="BX72" s="8">
        <v>-7</v>
      </c>
      <c r="BY72" s="8">
        <v>20</v>
      </c>
      <c r="BZ72" s="8">
        <v>-18</v>
      </c>
      <c r="CA72" s="8">
        <v>22</v>
      </c>
      <c r="CB72" s="8">
        <v>5</v>
      </c>
      <c r="CC72" s="8">
        <v>10</v>
      </c>
      <c r="CD72" s="8">
        <v>11</v>
      </c>
      <c r="CE72" s="8">
        <v>9</v>
      </c>
      <c r="CF72" s="8">
        <v>13</v>
      </c>
      <c r="CG72" s="8">
        <v>0</v>
      </c>
      <c r="CH72" s="8">
        <v>14</v>
      </c>
      <c r="CI72" s="8">
        <v>-8</v>
      </c>
      <c r="CJ72" s="8">
        <v>16</v>
      </c>
      <c r="CK72" s="8">
        <v>-2</v>
      </c>
      <c r="CL72" s="8">
        <v>4</v>
      </c>
      <c r="CM72" s="8">
        <v>-5</v>
      </c>
      <c r="CN72" s="8">
        <v>1</v>
      </c>
      <c r="CO72" s="8">
        <v>1</v>
      </c>
      <c r="CP72" s="8">
        <v>-3</v>
      </c>
      <c r="CQ72" s="8">
        <v>-1</v>
      </c>
      <c r="CR72" s="8">
        <v>2</v>
      </c>
      <c r="CS72" s="8">
        <v>1</v>
      </c>
      <c r="CT72" s="8">
        <v>0</v>
      </c>
      <c r="CU72" s="8">
        <v>-2</v>
      </c>
      <c r="CV72" s="8">
        <v>1</v>
      </c>
      <c r="CW72" s="8">
        <v>-1</v>
      </c>
      <c r="CX72" s="8">
        <v>0</v>
      </c>
      <c r="CY72" s="8">
        <v>0</v>
      </c>
      <c r="CZ72" s="8">
        <v>-3</v>
      </c>
      <c r="DA72" s="10"/>
      <c r="DB72" s="10"/>
      <c r="DC72" s="10"/>
      <c r="DD72" s="10"/>
      <c r="DE72" s="10"/>
    </row>
    <row r="73" spans="1:109" x14ac:dyDescent="0.3">
      <c r="A73" s="10">
        <v>2022</v>
      </c>
      <c r="C73" s="8">
        <v>393</v>
      </c>
      <c r="D73" s="8">
        <v>967</v>
      </c>
      <c r="E73" s="8">
        <v>1083</v>
      </c>
      <c r="F73" s="8">
        <v>909</v>
      </c>
      <c r="G73" s="8">
        <v>846</v>
      </c>
      <c r="H73" s="8">
        <v>843</v>
      </c>
      <c r="I73" s="8">
        <v>831</v>
      </c>
      <c r="J73" s="8">
        <v>920</v>
      </c>
      <c r="K73" s="8">
        <v>912</v>
      </c>
      <c r="L73" s="8">
        <v>914</v>
      </c>
      <c r="M73" s="8">
        <v>940</v>
      </c>
      <c r="N73" s="8">
        <v>883</v>
      </c>
      <c r="O73" s="8">
        <v>917</v>
      </c>
      <c r="P73" s="8">
        <v>930</v>
      </c>
      <c r="Q73" s="8">
        <v>972</v>
      </c>
      <c r="R73" s="8">
        <v>960</v>
      </c>
      <c r="S73" s="8">
        <v>925</v>
      </c>
      <c r="T73" s="8">
        <v>943</v>
      </c>
      <c r="U73" s="8">
        <v>1025</v>
      </c>
      <c r="V73" s="8">
        <v>720</v>
      </c>
      <c r="W73" s="8">
        <v>895</v>
      </c>
      <c r="X73" s="8">
        <v>979</v>
      </c>
      <c r="Y73" s="8">
        <v>1126</v>
      </c>
      <c r="Z73" s="8">
        <v>1348</v>
      </c>
      <c r="AA73" s="8">
        <v>1579</v>
      </c>
      <c r="AB73" s="8">
        <v>1598</v>
      </c>
      <c r="AC73" s="8">
        <v>1618</v>
      </c>
      <c r="AD73" s="8">
        <v>1632</v>
      </c>
      <c r="AE73" s="8">
        <v>1729</v>
      </c>
      <c r="AF73" s="8">
        <v>1661</v>
      </c>
      <c r="AG73" s="8">
        <v>1608</v>
      </c>
      <c r="AH73" s="8">
        <v>1513</v>
      </c>
      <c r="AI73" s="8">
        <v>1390</v>
      </c>
      <c r="AJ73" s="8">
        <v>1309</v>
      </c>
      <c r="AK73" s="8">
        <v>1287</v>
      </c>
      <c r="AL73" s="8">
        <v>1198</v>
      </c>
      <c r="AM73" s="8">
        <v>1184</v>
      </c>
      <c r="AN73" s="8">
        <v>1147</v>
      </c>
      <c r="AO73" s="8">
        <v>1079</v>
      </c>
      <c r="AP73" s="8">
        <v>1016</v>
      </c>
      <c r="AQ73" s="8">
        <v>1012</v>
      </c>
      <c r="AR73" s="8">
        <v>834</v>
      </c>
      <c r="AS73" s="8">
        <v>835</v>
      </c>
      <c r="AT73" s="8">
        <v>760</v>
      </c>
      <c r="AU73" s="8">
        <v>694</v>
      </c>
      <c r="AV73" s="8">
        <v>655</v>
      </c>
      <c r="AW73" s="8">
        <v>610</v>
      </c>
      <c r="AX73" s="8">
        <v>483</v>
      </c>
      <c r="AY73" s="8">
        <v>519</v>
      </c>
      <c r="AZ73" s="8">
        <v>400</v>
      </c>
      <c r="BA73" s="8">
        <v>427</v>
      </c>
      <c r="BB73" s="8">
        <v>353</v>
      </c>
      <c r="BC73" s="8">
        <v>353</v>
      </c>
      <c r="BD73" s="8">
        <v>336</v>
      </c>
      <c r="BE73" s="8">
        <v>312</v>
      </c>
      <c r="BF73" s="8">
        <v>254</v>
      </c>
      <c r="BG73" s="8">
        <v>265</v>
      </c>
      <c r="BH73" s="8">
        <v>114</v>
      </c>
      <c r="BI73" s="8">
        <v>190</v>
      </c>
      <c r="BJ73" s="8">
        <v>208</v>
      </c>
      <c r="BK73" s="8">
        <v>264</v>
      </c>
      <c r="BL73" s="8">
        <v>302</v>
      </c>
      <c r="BM73" s="8">
        <v>280</v>
      </c>
      <c r="BN73" s="8">
        <v>225</v>
      </c>
      <c r="BO73" s="8">
        <v>230</v>
      </c>
      <c r="BP73" s="8">
        <v>199</v>
      </c>
      <c r="BQ73" s="8">
        <v>190</v>
      </c>
      <c r="BR73" s="8">
        <v>156</v>
      </c>
      <c r="BS73" s="8">
        <v>152</v>
      </c>
      <c r="BT73" s="8">
        <v>134</v>
      </c>
      <c r="BU73" s="8">
        <v>154</v>
      </c>
      <c r="BV73" s="8">
        <v>128</v>
      </c>
      <c r="BW73" s="8">
        <v>183</v>
      </c>
      <c r="BX73" s="8">
        <v>152</v>
      </c>
      <c r="BY73" s="8">
        <v>145</v>
      </c>
      <c r="BZ73" s="8">
        <v>107</v>
      </c>
      <c r="CA73" s="8">
        <v>103</v>
      </c>
      <c r="CB73" s="8">
        <v>53</v>
      </c>
      <c r="CC73" s="8">
        <v>61</v>
      </c>
      <c r="CD73" s="8">
        <v>51</v>
      </c>
      <c r="CE73" s="8">
        <v>56</v>
      </c>
      <c r="CF73" s="8">
        <v>57</v>
      </c>
      <c r="CG73" s="8">
        <v>35</v>
      </c>
      <c r="CH73" s="8">
        <v>37</v>
      </c>
      <c r="CI73" s="8">
        <v>28</v>
      </c>
      <c r="CJ73" s="8">
        <v>33</v>
      </c>
      <c r="CK73" s="8">
        <v>31</v>
      </c>
      <c r="CL73" s="8">
        <v>17</v>
      </c>
      <c r="CM73" s="8">
        <v>6</v>
      </c>
      <c r="CN73" s="8">
        <v>6</v>
      </c>
      <c r="CO73" s="8">
        <v>8</v>
      </c>
      <c r="CP73" s="8">
        <v>1</v>
      </c>
      <c r="CQ73" s="8">
        <v>4</v>
      </c>
      <c r="CR73" s="8">
        <v>-1</v>
      </c>
      <c r="CS73" s="8">
        <v>4</v>
      </c>
      <c r="CT73" s="8">
        <v>-1</v>
      </c>
      <c r="CU73" s="8">
        <v>3</v>
      </c>
      <c r="CV73" s="8">
        <v>0</v>
      </c>
      <c r="CW73" s="8">
        <v>2</v>
      </c>
      <c r="CX73" s="8">
        <v>-1</v>
      </c>
      <c r="CY73" s="8">
        <v>0</v>
      </c>
      <c r="CZ73" s="8">
        <v>0</v>
      </c>
      <c r="DA73" s="10"/>
      <c r="DB73" s="10"/>
      <c r="DC73" s="10"/>
      <c r="DD73" s="10"/>
      <c r="DE73" s="10"/>
    </row>
    <row r="74" spans="1:109" x14ac:dyDescent="0.3">
      <c r="B74" t="s">
        <v>22</v>
      </c>
      <c r="C74">
        <f>AVERAGE(C54:C73)</f>
        <v>366.2</v>
      </c>
      <c r="D74" s="8">
        <f t="shared" ref="D74:BO74" si="4">AVERAGE(D54:D73)</f>
        <v>816.05</v>
      </c>
      <c r="E74" s="8">
        <f t="shared" si="4"/>
        <v>557.25</v>
      </c>
      <c r="F74" s="8">
        <f t="shared" si="4"/>
        <v>386.2</v>
      </c>
      <c r="G74" s="8">
        <f t="shared" si="4"/>
        <v>341.4</v>
      </c>
      <c r="H74" s="8">
        <f t="shared" si="4"/>
        <v>332.4</v>
      </c>
      <c r="I74" s="8">
        <f t="shared" si="4"/>
        <v>292.60000000000002</v>
      </c>
      <c r="J74" s="8">
        <f t="shared" si="4"/>
        <v>326.64999999999998</v>
      </c>
      <c r="K74" s="8">
        <f t="shared" si="4"/>
        <v>332.6</v>
      </c>
      <c r="L74" s="8">
        <f t="shared" si="4"/>
        <v>337.45</v>
      </c>
      <c r="M74" s="8">
        <f t="shared" si="4"/>
        <v>348.45</v>
      </c>
      <c r="N74" s="8">
        <f t="shared" si="4"/>
        <v>354.6</v>
      </c>
      <c r="O74" s="8">
        <f t="shared" si="4"/>
        <v>346.5</v>
      </c>
      <c r="P74" s="8">
        <f t="shared" si="4"/>
        <v>360.4</v>
      </c>
      <c r="Q74" s="8">
        <f t="shared" si="4"/>
        <v>362.35</v>
      </c>
      <c r="R74" s="8">
        <f t="shared" si="4"/>
        <v>383.7</v>
      </c>
      <c r="S74" s="8">
        <f t="shared" si="4"/>
        <v>478</v>
      </c>
      <c r="T74" s="8">
        <f t="shared" si="4"/>
        <v>517.15</v>
      </c>
      <c r="U74" s="8">
        <f t="shared" si="4"/>
        <v>470.4</v>
      </c>
      <c r="V74" s="8">
        <f t="shared" si="4"/>
        <v>479.7</v>
      </c>
      <c r="W74" s="8">
        <f t="shared" si="4"/>
        <v>552.9</v>
      </c>
      <c r="X74" s="8">
        <f t="shared" si="4"/>
        <v>669.75</v>
      </c>
      <c r="Y74" s="8">
        <f t="shared" si="4"/>
        <v>837.6</v>
      </c>
      <c r="Z74" s="8">
        <f t="shared" si="4"/>
        <v>1066.1500000000001</v>
      </c>
      <c r="AA74" s="8">
        <f t="shared" si="4"/>
        <v>1244.05</v>
      </c>
      <c r="AB74" s="8">
        <f t="shared" si="4"/>
        <v>1440.6</v>
      </c>
      <c r="AC74" s="8">
        <f t="shared" si="4"/>
        <v>1504.8</v>
      </c>
      <c r="AD74" s="8">
        <f t="shared" si="4"/>
        <v>1428.25</v>
      </c>
      <c r="AE74" s="8">
        <f t="shared" si="4"/>
        <v>1352.85</v>
      </c>
      <c r="AF74" s="8">
        <f t="shared" si="4"/>
        <v>1233.1500000000001</v>
      </c>
      <c r="AG74" s="8">
        <f t="shared" si="4"/>
        <v>1097.8</v>
      </c>
      <c r="AH74" s="8">
        <f t="shared" si="4"/>
        <v>935.55</v>
      </c>
      <c r="AI74" s="8">
        <f t="shared" si="4"/>
        <v>864.15</v>
      </c>
      <c r="AJ74" s="8">
        <f t="shared" si="4"/>
        <v>805.3</v>
      </c>
      <c r="AK74" s="8">
        <f t="shared" si="4"/>
        <v>723.7</v>
      </c>
      <c r="AL74" s="8">
        <f t="shared" si="4"/>
        <v>667</v>
      </c>
      <c r="AM74" s="15">
        <f t="shared" si="4"/>
        <v>616.85</v>
      </c>
      <c r="AN74" s="8">
        <f t="shared" si="4"/>
        <v>551.4</v>
      </c>
      <c r="AO74" s="8">
        <f t="shared" si="4"/>
        <v>509.8</v>
      </c>
      <c r="AP74" s="8">
        <f t="shared" si="4"/>
        <v>483.35</v>
      </c>
      <c r="AQ74" s="8">
        <f t="shared" si="4"/>
        <v>425.55</v>
      </c>
      <c r="AR74" s="8">
        <f t="shared" si="4"/>
        <v>390.25</v>
      </c>
      <c r="AS74" s="8">
        <f t="shared" si="4"/>
        <v>365.9</v>
      </c>
      <c r="AT74" s="8">
        <f t="shared" si="4"/>
        <v>342.7</v>
      </c>
      <c r="AU74" s="8">
        <f t="shared" si="4"/>
        <v>301.2</v>
      </c>
      <c r="AV74" s="8">
        <f t="shared" si="4"/>
        <v>271.89999999999998</v>
      </c>
      <c r="AW74" s="8">
        <f t="shared" si="4"/>
        <v>260.14999999999998</v>
      </c>
      <c r="AX74" s="8">
        <f t="shared" si="4"/>
        <v>229.75</v>
      </c>
      <c r="AY74" s="8">
        <f t="shared" si="4"/>
        <v>201.8</v>
      </c>
      <c r="AZ74" s="8">
        <f t="shared" si="4"/>
        <v>172</v>
      </c>
      <c r="BA74" s="8">
        <f t="shared" si="4"/>
        <v>169.7</v>
      </c>
      <c r="BB74" s="8">
        <f t="shared" si="4"/>
        <v>132.25</v>
      </c>
      <c r="BC74" s="8">
        <f t="shared" si="4"/>
        <v>110.65</v>
      </c>
      <c r="BD74" s="8">
        <f t="shared" si="4"/>
        <v>102.35</v>
      </c>
      <c r="BE74" s="8">
        <f t="shared" si="4"/>
        <v>80.55</v>
      </c>
      <c r="BF74" s="8">
        <f t="shared" si="4"/>
        <v>65.400000000000006</v>
      </c>
      <c r="BG74" s="8">
        <f t="shared" si="4"/>
        <v>50.95</v>
      </c>
      <c r="BH74" s="8">
        <f t="shared" si="4"/>
        <v>23.2</v>
      </c>
      <c r="BI74" s="8">
        <f t="shared" si="4"/>
        <v>15.4</v>
      </c>
      <c r="BJ74" s="8">
        <f t="shared" si="4"/>
        <v>17.7</v>
      </c>
      <c r="BK74" s="8">
        <f t="shared" si="4"/>
        <v>18.149999999999999</v>
      </c>
      <c r="BL74" s="8">
        <f t="shared" si="4"/>
        <v>9.35</v>
      </c>
      <c r="BM74" s="8">
        <f t="shared" si="4"/>
        <v>-10.65</v>
      </c>
      <c r="BN74" s="8">
        <f t="shared" si="4"/>
        <v>-20.7</v>
      </c>
      <c r="BO74" s="8">
        <f t="shared" si="4"/>
        <v>-6.55</v>
      </c>
      <c r="BP74" s="8">
        <f t="shared" ref="BP74:CZ74" si="5">AVERAGE(BP54:BP73)</f>
        <v>-12.25</v>
      </c>
      <c r="BQ74" s="8">
        <f t="shared" si="5"/>
        <v>-6.8</v>
      </c>
      <c r="BR74" s="8">
        <f t="shared" si="5"/>
        <v>-23.35</v>
      </c>
      <c r="BS74" s="8">
        <f t="shared" si="5"/>
        <v>-13.2</v>
      </c>
      <c r="BT74" s="8">
        <f t="shared" si="5"/>
        <v>1.4</v>
      </c>
      <c r="BU74" s="8">
        <f t="shared" si="5"/>
        <v>6.3</v>
      </c>
      <c r="BV74" s="8">
        <f t="shared" si="5"/>
        <v>8.1999999999999993</v>
      </c>
      <c r="BW74" s="8">
        <f t="shared" si="5"/>
        <v>16.600000000000001</v>
      </c>
      <c r="BX74" s="8">
        <f t="shared" si="5"/>
        <v>14.45</v>
      </c>
      <c r="BY74" s="8">
        <f t="shared" si="5"/>
        <v>15.4</v>
      </c>
      <c r="BZ74" s="8">
        <f t="shared" si="5"/>
        <v>11.25</v>
      </c>
      <c r="CA74" s="8">
        <f t="shared" si="5"/>
        <v>16.95</v>
      </c>
      <c r="CB74" s="8">
        <f t="shared" si="5"/>
        <v>11.6</v>
      </c>
      <c r="CC74" s="8">
        <f t="shared" si="5"/>
        <v>10.3</v>
      </c>
      <c r="CD74" s="8">
        <f t="shared" si="5"/>
        <v>9.35</v>
      </c>
      <c r="CE74" s="8">
        <f t="shared" si="5"/>
        <v>9.25</v>
      </c>
      <c r="CF74" s="8">
        <f t="shared" si="5"/>
        <v>9.25</v>
      </c>
      <c r="CG74" s="8">
        <f t="shared" si="5"/>
        <v>5.6</v>
      </c>
      <c r="CH74" s="8">
        <f t="shared" si="5"/>
        <v>6.85</v>
      </c>
      <c r="CI74" s="8">
        <f t="shared" si="5"/>
        <v>4.8</v>
      </c>
      <c r="CJ74" s="8">
        <f t="shared" si="5"/>
        <v>4.9000000000000004</v>
      </c>
      <c r="CK74" s="8">
        <f t="shared" si="5"/>
        <v>3.25</v>
      </c>
      <c r="CL74" s="8">
        <f t="shared" si="5"/>
        <v>2.15</v>
      </c>
      <c r="CM74" s="8">
        <f t="shared" si="5"/>
        <v>2.2999999999999998</v>
      </c>
      <c r="CN74" s="8">
        <f t="shared" si="5"/>
        <v>2.25</v>
      </c>
      <c r="CO74" s="8">
        <f t="shared" si="5"/>
        <v>0.45</v>
      </c>
      <c r="CP74" s="8">
        <f t="shared" si="5"/>
        <v>0.15</v>
      </c>
      <c r="CQ74" s="8">
        <f t="shared" si="5"/>
        <v>0.4</v>
      </c>
      <c r="CR74" s="8">
        <f t="shared" si="5"/>
        <v>-0.25</v>
      </c>
      <c r="CS74" s="8">
        <f t="shared" si="5"/>
        <v>0.2</v>
      </c>
      <c r="CT74" s="8">
        <f t="shared" si="5"/>
        <v>-0.1</v>
      </c>
      <c r="CU74" s="8">
        <f t="shared" si="5"/>
        <v>0.2</v>
      </c>
      <c r="CV74" s="8">
        <f t="shared" si="5"/>
        <v>0.35</v>
      </c>
      <c r="CW74" s="8">
        <f t="shared" si="5"/>
        <v>0</v>
      </c>
      <c r="CX74" s="8">
        <f t="shared" si="5"/>
        <v>0.55000000000000004</v>
      </c>
      <c r="CY74" s="8">
        <f t="shared" si="5"/>
        <v>0.55000000000000004</v>
      </c>
      <c r="CZ74" s="8">
        <f t="shared" si="5"/>
        <v>-0.35</v>
      </c>
    </row>
    <row r="75" spans="1:109" s="8" customFormat="1" x14ac:dyDescent="0.3">
      <c r="B75" s="8" t="s">
        <v>23</v>
      </c>
      <c r="C75" s="8">
        <f>MEDIAN(C54:C73)</f>
        <v>380</v>
      </c>
      <c r="D75" s="8">
        <f t="shared" ref="D75:BO75" si="6">MEDIAN(D54:D73)</f>
        <v>824.5</v>
      </c>
      <c r="E75" s="8">
        <f t="shared" si="6"/>
        <v>489.5</v>
      </c>
      <c r="F75" s="8">
        <f t="shared" si="6"/>
        <v>369</v>
      </c>
      <c r="G75" s="8">
        <f t="shared" si="6"/>
        <v>336</v>
      </c>
      <c r="H75" s="8">
        <f t="shared" si="6"/>
        <v>338</v>
      </c>
      <c r="I75" s="8">
        <f t="shared" si="6"/>
        <v>314</v>
      </c>
      <c r="J75" s="8">
        <f t="shared" si="6"/>
        <v>354</v>
      </c>
      <c r="K75" s="8">
        <f t="shared" si="6"/>
        <v>334.5</v>
      </c>
      <c r="L75" s="8">
        <f t="shared" si="6"/>
        <v>349.5</v>
      </c>
      <c r="M75" s="8">
        <f t="shared" si="6"/>
        <v>343.5</v>
      </c>
      <c r="N75" s="8">
        <f t="shared" si="6"/>
        <v>360</v>
      </c>
      <c r="O75" s="8">
        <f t="shared" si="6"/>
        <v>355</v>
      </c>
      <c r="P75" s="8">
        <f t="shared" si="6"/>
        <v>360</v>
      </c>
      <c r="Q75" s="8">
        <f t="shared" si="6"/>
        <v>344.5</v>
      </c>
      <c r="R75" s="8">
        <f t="shared" si="6"/>
        <v>366</v>
      </c>
      <c r="S75" s="8">
        <f t="shared" si="6"/>
        <v>443</v>
      </c>
      <c r="T75" s="8">
        <f t="shared" si="6"/>
        <v>455.5</v>
      </c>
      <c r="U75" s="8">
        <f t="shared" si="6"/>
        <v>461</v>
      </c>
      <c r="V75" s="8">
        <f t="shared" si="6"/>
        <v>503</v>
      </c>
      <c r="W75" s="8">
        <f t="shared" si="6"/>
        <v>578.5</v>
      </c>
      <c r="X75" s="8">
        <f t="shared" si="6"/>
        <v>764.5</v>
      </c>
      <c r="Y75" s="8">
        <f t="shared" si="6"/>
        <v>836.5</v>
      </c>
      <c r="Z75" s="8">
        <f t="shared" si="6"/>
        <v>1020</v>
      </c>
      <c r="AA75" s="8">
        <f t="shared" si="6"/>
        <v>1143.5</v>
      </c>
      <c r="AB75" s="8">
        <f t="shared" si="6"/>
        <v>1406</v>
      </c>
      <c r="AC75" s="8">
        <f t="shared" si="6"/>
        <v>1445</v>
      </c>
      <c r="AD75" s="8">
        <f t="shared" si="6"/>
        <v>1429</v>
      </c>
      <c r="AE75" s="8">
        <f t="shared" si="6"/>
        <v>1251.5</v>
      </c>
      <c r="AF75" s="8">
        <f t="shared" si="6"/>
        <v>1212</v>
      </c>
      <c r="AG75" s="8">
        <f t="shared" si="6"/>
        <v>1056.5</v>
      </c>
      <c r="AH75" s="8">
        <f t="shared" si="6"/>
        <v>945.5</v>
      </c>
      <c r="AI75" s="8">
        <f t="shared" si="6"/>
        <v>806</v>
      </c>
      <c r="AJ75" s="8">
        <f t="shared" si="6"/>
        <v>802</v>
      </c>
      <c r="AK75" s="8">
        <f t="shared" si="6"/>
        <v>667.5</v>
      </c>
      <c r="AL75" s="8">
        <f t="shared" si="6"/>
        <v>652.5</v>
      </c>
      <c r="AM75" s="8">
        <f t="shared" si="6"/>
        <v>591</v>
      </c>
      <c r="AN75" s="8">
        <f t="shared" si="6"/>
        <v>527.5</v>
      </c>
      <c r="AO75" s="8">
        <f t="shared" si="6"/>
        <v>479</v>
      </c>
      <c r="AP75" s="8">
        <f t="shared" si="6"/>
        <v>417.5</v>
      </c>
      <c r="AQ75" s="8">
        <f t="shared" si="6"/>
        <v>387</v>
      </c>
      <c r="AR75" s="8">
        <f t="shared" si="6"/>
        <v>380</v>
      </c>
      <c r="AS75" s="8">
        <f t="shared" si="6"/>
        <v>337</v>
      </c>
      <c r="AT75" s="8">
        <f t="shared" si="6"/>
        <v>326</v>
      </c>
      <c r="AU75" s="8">
        <f t="shared" si="6"/>
        <v>264</v>
      </c>
      <c r="AV75" s="8">
        <f t="shared" si="6"/>
        <v>266.5</v>
      </c>
      <c r="AW75" s="8">
        <f t="shared" si="6"/>
        <v>238</v>
      </c>
      <c r="AX75" s="8">
        <f t="shared" si="6"/>
        <v>216</v>
      </c>
      <c r="AY75" s="8">
        <f t="shared" si="6"/>
        <v>224</v>
      </c>
      <c r="AZ75" s="8">
        <f t="shared" si="6"/>
        <v>168</v>
      </c>
      <c r="BA75" s="8">
        <f t="shared" si="6"/>
        <v>164</v>
      </c>
      <c r="BB75" s="8">
        <f t="shared" si="6"/>
        <v>122</v>
      </c>
      <c r="BC75" s="8">
        <f t="shared" si="6"/>
        <v>94.5</v>
      </c>
      <c r="BD75" s="8">
        <f t="shared" si="6"/>
        <v>96</v>
      </c>
      <c r="BE75" s="8">
        <f t="shared" si="6"/>
        <v>79</v>
      </c>
      <c r="BF75" s="8">
        <f t="shared" si="6"/>
        <v>56</v>
      </c>
      <c r="BG75" s="8">
        <f t="shared" si="6"/>
        <v>38</v>
      </c>
      <c r="BH75" s="8">
        <f t="shared" si="6"/>
        <v>12.5</v>
      </c>
      <c r="BI75" s="8">
        <f t="shared" si="6"/>
        <v>8.5</v>
      </c>
      <c r="BJ75" s="8">
        <f t="shared" si="6"/>
        <v>21.5</v>
      </c>
      <c r="BK75" s="8">
        <f t="shared" si="6"/>
        <v>5</v>
      </c>
      <c r="BL75" s="8">
        <f t="shared" si="6"/>
        <v>-7.5</v>
      </c>
      <c r="BM75" s="8">
        <f t="shared" si="6"/>
        <v>-27.5</v>
      </c>
      <c r="BN75" s="8">
        <f t="shared" si="6"/>
        <v>-34</v>
      </c>
      <c r="BO75" s="8">
        <f t="shared" si="6"/>
        <v>-22.5</v>
      </c>
      <c r="BP75" s="8">
        <f t="shared" ref="BP75:CZ75" si="7">MEDIAN(BP54:BP73)</f>
        <v>-19.5</v>
      </c>
      <c r="BQ75" s="8">
        <f t="shared" si="7"/>
        <v>-9.5</v>
      </c>
      <c r="BR75" s="8">
        <f t="shared" si="7"/>
        <v>-26</v>
      </c>
      <c r="BS75" s="8">
        <f t="shared" si="7"/>
        <v>-19.5</v>
      </c>
      <c r="BT75" s="8">
        <f t="shared" si="7"/>
        <v>-3.5</v>
      </c>
      <c r="BU75" s="8">
        <f t="shared" si="7"/>
        <v>-3.5</v>
      </c>
      <c r="BV75" s="8">
        <f t="shared" si="7"/>
        <v>2.5</v>
      </c>
      <c r="BW75" s="8">
        <f t="shared" si="7"/>
        <v>11.5</v>
      </c>
      <c r="BX75" s="8">
        <f t="shared" si="7"/>
        <v>9</v>
      </c>
      <c r="BY75" s="8">
        <f t="shared" si="7"/>
        <v>7.5</v>
      </c>
      <c r="BZ75" s="8">
        <f t="shared" si="7"/>
        <v>6</v>
      </c>
      <c r="CA75" s="8">
        <f t="shared" si="7"/>
        <v>13</v>
      </c>
      <c r="CB75" s="8">
        <f t="shared" si="7"/>
        <v>8.5</v>
      </c>
      <c r="CC75" s="8">
        <f t="shared" si="7"/>
        <v>9.5</v>
      </c>
      <c r="CD75" s="8">
        <f t="shared" si="7"/>
        <v>10</v>
      </c>
      <c r="CE75" s="8">
        <f t="shared" si="7"/>
        <v>6.5</v>
      </c>
      <c r="CF75" s="8">
        <f t="shared" si="7"/>
        <v>8</v>
      </c>
      <c r="CG75" s="8">
        <f t="shared" si="7"/>
        <v>6</v>
      </c>
      <c r="CH75" s="8">
        <f t="shared" si="7"/>
        <v>6</v>
      </c>
      <c r="CI75" s="8">
        <f t="shared" si="7"/>
        <v>3.5</v>
      </c>
      <c r="CJ75" s="8">
        <f t="shared" si="7"/>
        <v>5</v>
      </c>
      <c r="CK75" s="8">
        <f t="shared" si="7"/>
        <v>1</v>
      </c>
      <c r="CL75" s="8">
        <f t="shared" si="7"/>
        <v>2.5</v>
      </c>
      <c r="CM75" s="8">
        <f t="shared" si="7"/>
        <v>2</v>
      </c>
      <c r="CN75" s="8">
        <f t="shared" si="7"/>
        <v>2.5</v>
      </c>
      <c r="CO75" s="8">
        <f t="shared" si="7"/>
        <v>0</v>
      </c>
      <c r="CP75" s="8">
        <f t="shared" si="7"/>
        <v>0</v>
      </c>
      <c r="CQ75" s="8">
        <f t="shared" si="7"/>
        <v>0</v>
      </c>
      <c r="CR75" s="8">
        <f t="shared" si="7"/>
        <v>-0.5</v>
      </c>
      <c r="CS75" s="8">
        <f t="shared" si="7"/>
        <v>0</v>
      </c>
      <c r="CT75" s="8">
        <f t="shared" si="7"/>
        <v>0</v>
      </c>
      <c r="CU75" s="8">
        <f t="shared" si="7"/>
        <v>0</v>
      </c>
      <c r="CV75" s="8">
        <f t="shared" si="7"/>
        <v>0</v>
      </c>
      <c r="CW75" s="8">
        <f t="shared" si="7"/>
        <v>0</v>
      </c>
      <c r="CX75" s="8">
        <f t="shared" si="7"/>
        <v>0</v>
      </c>
      <c r="CY75" s="8">
        <f t="shared" si="7"/>
        <v>0</v>
      </c>
      <c r="CZ75" s="8">
        <f t="shared" si="7"/>
        <v>0</v>
      </c>
    </row>
    <row r="76" spans="1:109" s="8" customFormat="1" x14ac:dyDescent="0.3"/>
    <row r="77" spans="1:109" s="8" customFormat="1" x14ac:dyDescent="0.3">
      <c r="C77" s="8" t="s">
        <v>36</v>
      </c>
    </row>
    <row r="78" spans="1:109" x14ac:dyDescent="0.3">
      <c r="A78" s="8"/>
      <c r="B78" t="s">
        <v>25</v>
      </c>
      <c r="C78" s="10">
        <v>0</v>
      </c>
      <c r="D78" s="10">
        <v>1</v>
      </c>
      <c r="E78" s="10">
        <v>2</v>
      </c>
      <c r="F78" s="10">
        <v>3</v>
      </c>
      <c r="G78" s="10">
        <v>4</v>
      </c>
      <c r="H78" s="10">
        <v>5</v>
      </c>
      <c r="I78" s="10">
        <v>6</v>
      </c>
      <c r="J78" s="10">
        <v>7</v>
      </c>
      <c r="K78" s="10">
        <v>8</v>
      </c>
      <c r="L78" s="10">
        <v>9</v>
      </c>
      <c r="M78" s="10">
        <v>10</v>
      </c>
      <c r="N78" s="10">
        <v>11</v>
      </c>
      <c r="O78" s="10">
        <v>12</v>
      </c>
      <c r="P78" s="10">
        <v>13</v>
      </c>
      <c r="Q78" s="10">
        <v>14</v>
      </c>
      <c r="R78" s="10">
        <v>15</v>
      </c>
      <c r="S78" s="10">
        <v>16</v>
      </c>
      <c r="T78" s="10">
        <v>17</v>
      </c>
      <c r="U78" s="10">
        <v>18</v>
      </c>
      <c r="V78" s="10">
        <v>19</v>
      </c>
      <c r="W78" s="10">
        <v>20</v>
      </c>
      <c r="X78" s="10">
        <v>21</v>
      </c>
      <c r="Y78" s="10">
        <v>22</v>
      </c>
      <c r="Z78" s="10">
        <v>23</v>
      </c>
      <c r="AA78" s="10">
        <v>24</v>
      </c>
      <c r="AB78" s="10">
        <v>25</v>
      </c>
      <c r="AC78" s="10">
        <v>26</v>
      </c>
      <c r="AD78" s="10">
        <v>27</v>
      </c>
      <c r="AE78" s="10">
        <v>28</v>
      </c>
      <c r="AF78" s="10">
        <v>29</v>
      </c>
      <c r="AG78" s="10">
        <v>30</v>
      </c>
      <c r="AH78" s="10">
        <v>31</v>
      </c>
      <c r="AI78" s="10">
        <v>32</v>
      </c>
      <c r="AJ78" s="10">
        <v>33</v>
      </c>
      <c r="AK78" s="10">
        <v>34</v>
      </c>
      <c r="AL78" s="10">
        <v>35</v>
      </c>
      <c r="AM78" s="10">
        <v>36</v>
      </c>
      <c r="AN78" s="10">
        <v>37</v>
      </c>
      <c r="AO78" s="10">
        <v>38</v>
      </c>
      <c r="AP78" s="10">
        <v>39</v>
      </c>
      <c r="AQ78" s="10">
        <v>40</v>
      </c>
      <c r="AR78" s="10">
        <v>41</v>
      </c>
      <c r="AS78" s="10">
        <v>42</v>
      </c>
      <c r="AT78" s="10">
        <v>43</v>
      </c>
      <c r="AU78" s="10">
        <v>44</v>
      </c>
      <c r="AV78" s="10">
        <v>45</v>
      </c>
      <c r="AW78" s="10">
        <v>46</v>
      </c>
      <c r="AX78" s="10">
        <v>47</v>
      </c>
      <c r="AY78" s="10">
        <v>48</v>
      </c>
      <c r="AZ78" s="10">
        <v>49</v>
      </c>
      <c r="BA78" s="10">
        <v>50</v>
      </c>
      <c r="BB78" s="10">
        <v>51</v>
      </c>
      <c r="BC78" s="10">
        <v>52</v>
      </c>
      <c r="BD78" s="10">
        <v>53</v>
      </c>
      <c r="BE78" s="10">
        <v>54</v>
      </c>
      <c r="BF78" s="10">
        <v>55</v>
      </c>
      <c r="BG78" s="10">
        <v>56</v>
      </c>
      <c r="BH78" s="10">
        <v>57</v>
      </c>
      <c r="BI78" s="10">
        <v>58</v>
      </c>
      <c r="BJ78" s="10">
        <v>59</v>
      </c>
      <c r="BK78" s="10">
        <v>60</v>
      </c>
      <c r="BL78" s="10">
        <v>61</v>
      </c>
      <c r="BM78" s="10">
        <v>62</v>
      </c>
      <c r="BN78" s="10">
        <v>63</v>
      </c>
      <c r="BO78" s="10">
        <v>64</v>
      </c>
      <c r="BP78" s="10">
        <v>65</v>
      </c>
      <c r="BQ78" s="10">
        <v>66</v>
      </c>
      <c r="BR78" s="10">
        <v>67</v>
      </c>
      <c r="BS78" s="10">
        <v>68</v>
      </c>
      <c r="BT78" s="10">
        <v>69</v>
      </c>
      <c r="BU78" s="10">
        <v>70</v>
      </c>
      <c r="BV78" s="10">
        <v>71</v>
      </c>
      <c r="BW78" s="10">
        <v>72</v>
      </c>
      <c r="BX78" s="10">
        <v>73</v>
      </c>
      <c r="BY78" s="10">
        <v>74</v>
      </c>
      <c r="BZ78" s="10">
        <v>75</v>
      </c>
      <c r="CA78" s="10">
        <v>76</v>
      </c>
      <c r="CB78" s="10">
        <v>77</v>
      </c>
      <c r="CC78" s="10">
        <v>78</v>
      </c>
      <c r="CD78" s="10">
        <v>79</v>
      </c>
      <c r="CE78" s="10">
        <v>80</v>
      </c>
      <c r="CF78" s="10">
        <v>81</v>
      </c>
      <c r="CG78" s="10">
        <v>82</v>
      </c>
      <c r="CH78" s="10">
        <v>83</v>
      </c>
      <c r="CI78" s="10">
        <v>84</v>
      </c>
      <c r="CJ78" s="10">
        <v>85</v>
      </c>
      <c r="CK78" s="10">
        <v>86</v>
      </c>
      <c r="CL78" s="10">
        <v>87</v>
      </c>
      <c r="CM78" s="10">
        <v>88</v>
      </c>
      <c r="CN78" s="10">
        <v>89</v>
      </c>
      <c r="CO78" s="10">
        <v>90</v>
      </c>
      <c r="CP78" s="10">
        <v>91</v>
      </c>
      <c r="CQ78" s="10">
        <v>92</v>
      </c>
      <c r="CR78" s="10">
        <v>93</v>
      </c>
      <c r="CS78" s="10">
        <v>94</v>
      </c>
      <c r="CT78" s="10">
        <v>95</v>
      </c>
      <c r="CU78" s="10">
        <v>96</v>
      </c>
      <c r="CV78" s="10">
        <v>97</v>
      </c>
      <c r="CW78" s="10">
        <v>98</v>
      </c>
      <c r="CX78" s="10">
        <v>99</v>
      </c>
      <c r="CY78" s="10">
        <v>100</v>
      </c>
      <c r="CZ78" s="10"/>
    </row>
    <row r="79" spans="1:109" x14ac:dyDescent="0.3">
      <c r="A79" s="10">
        <v>2003</v>
      </c>
      <c r="C79" s="7">
        <f t="shared" ref="C79:AH79" si="8">D6-C5+D29-D54</f>
        <v>53</v>
      </c>
      <c r="D79" s="7">
        <f t="shared" si="8"/>
        <v>6</v>
      </c>
      <c r="E79" s="7">
        <f t="shared" si="8"/>
        <v>-3</v>
      </c>
      <c r="F79" s="7">
        <f t="shared" si="8"/>
        <v>-9</v>
      </c>
      <c r="G79" s="7">
        <f t="shared" si="8"/>
        <v>-3</v>
      </c>
      <c r="H79" s="7">
        <f t="shared" si="8"/>
        <v>-12</v>
      </c>
      <c r="I79" s="7">
        <f t="shared" si="8"/>
        <v>6</v>
      </c>
      <c r="J79" s="7">
        <f t="shared" si="8"/>
        <v>-11</v>
      </c>
      <c r="K79" s="7">
        <f t="shared" si="8"/>
        <v>-9</v>
      </c>
      <c r="L79" s="7">
        <f t="shared" si="8"/>
        <v>7</v>
      </c>
      <c r="M79" s="7">
        <f t="shared" si="8"/>
        <v>-7</v>
      </c>
      <c r="N79" s="7">
        <f t="shared" si="8"/>
        <v>2</v>
      </c>
      <c r="O79" s="7">
        <f t="shared" si="8"/>
        <v>-18</v>
      </c>
      <c r="P79" s="7">
        <f t="shared" si="8"/>
        <v>7</v>
      </c>
      <c r="Q79" s="7">
        <f t="shared" si="8"/>
        <v>-14</v>
      </c>
      <c r="R79" s="7">
        <f t="shared" si="8"/>
        <v>0</v>
      </c>
      <c r="S79" s="7">
        <f t="shared" si="8"/>
        <v>10</v>
      </c>
      <c r="T79" s="7">
        <f t="shared" si="8"/>
        <v>20</v>
      </c>
      <c r="U79" s="7">
        <f t="shared" si="8"/>
        <v>27</v>
      </c>
      <c r="V79" s="7">
        <f t="shared" si="8"/>
        <v>23</v>
      </c>
      <c r="W79" s="7">
        <f t="shared" si="8"/>
        <v>26</v>
      </c>
      <c r="X79" s="7">
        <f t="shared" si="8"/>
        <v>48</v>
      </c>
      <c r="Y79" s="7">
        <f t="shared" si="8"/>
        <v>25</v>
      </c>
      <c r="Z79" s="7">
        <f t="shared" si="8"/>
        <v>38</v>
      </c>
      <c r="AA79" s="7">
        <f t="shared" si="8"/>
        <v>-3</v>
      </c>
      <c r="AB79" s="7">
        <f t="shared" si="8"/>
        <v>-17</v>
      </c>
      <c r="AC79" s="7">
        <f t="shared" si="8"/>
        <v>-13</v>
      </c>
      <c r="AD79" s="7">
        <f t="shared" si="8"/>
        <v>-10</v>
      </c>
      <c r="AE79" s="7">
        <f t="shared" si="8"/>
        <v>4</v>
      </c>
      <c r="AF79" s="7">
        <f t="shared" si="8"/>
        <v>7</v>
      </c>
      <c r="AG79" s="7">
        <f t="shared" si="8"/>
        <v>-13</v>
      </c>
      <c r="AH79" s="7">
        <f t="shared" si="8"/>
        <v>-11</v>
      </c>
      <c r="AI79" s="7">
        <f t="shared" ref="AI79:BN79" si="9">AJ6-AI5+AJ29-AJ54</f>
        <v>-32</v>
      </c>
      <c r="AJ79" s="7">
        <f t="shared" si="9"/>
        <v>-27</v>
      </c>
      <c r="AK79" s="7">
        <f t="shared" si="9"/>
        <v>-16</v>
      </c>
      <c r="AL79" s="7">
        <f t="shared" si="9"/>
        <v>-22</v>
      </c>
      <c r="AM79" s="7">
        <f t="shared" si="9"/>
        <v>-17</v>
      </c>
      <c r="AN79" s="7">
        <f t="shared" si="9"/>
        <v>6</v>
      </c>
      <c r="AO79" s="7">
        <f t="shared" si="9"/>
        <v>5</v>
      </c>
      <c r="AP79" s="7">
        <f t="shared" si="9"/>
        <v>-17</v>
      </c>
      <c r="AQ79" s="7">
        <f t="shared" si="9"/>
        <v>-14</v>
      </c>
      <c r="AR79" s="7">
        <f t="shared" si="9"/>
        <v>-6</v>
      </c>
      <c r="AS79" s="7">
        <f t="shared" si="9"/>
        <v>-5</v>
      </c>
      <c r="AT79" s="7">
        <f t="shared" si="9"/>
        <v>-2</v>
      </c>
      <c r="AU79" s="7">
        <f t="shared" si="9"/>
        <v>11</v>
      </c>
      <c r="AV79" s="7">
        <f t="shared" si="9"/>
        <v>-19</v>
      </c>
      <c r="AW79" s="7">
        <f t="shared" si="9"/>
        <v>-4</v>
      </c>
      <c r="AX79" s="7">
        <f t="shared" si="9"/>
        <v>-3</v>
      </c>
      <c r="AY79" s="7">
        <f t="shared" si="9"/>
        <v>-10</v>
      </c>
      <c r="AZ79" s="7">
        <f t="shared" si="9"/>
        <v>-5</v>
      </c>
      <c r="BA79" s="7">
        <f t="shared" si="9"/>
        <v>1</v>
      </c>
      <c r="BB79" s="7">
        <f t="shared" si="9"/>
        <v>2</v>
      </c>
      <c r="BC79" s="7">
        <f t="shared" si="9"/>
        <v>-3</v>
      </c>
      <c r="BD79" s="7">
        <f t="shared" si="9"/>
        <v>-6</v>
      </c>
      <c r="BE79" s="7">
        <f t="shared" si="9"/>
        <v>-2</v>
      </c>
      <c r="BF79" s="7">
        <f t="shared" si="9"/>
        <v>2</v>
      </c>
      <c r="BG79" s="7">
        <f t="shared" si="9"/>
        <v>-9</v>
      </c>
      <c r="BH79" s="7">
        <f t="shared" si="9"/>
        <v>-2</v>
      </c>
      <c r="BI79" s="7">
        <f t="shared" si="9"/>
        <v>0</v>
      </c>
      <c r="BJ79" s="7">
        <f t="shared" si="9"/>
        <v>2</v>
      </c>
      <c r="BK79" s="7">
        <f t="shared" si="9"/>
        <v>3</v>
      </c>
      <c r="BL79" s="7">
        <f t="shared" si="9"/>
        <v>0</v>
      </c>
      <c r="BM79" s="7">
        <f t="shared" si="9"/>
        <v>-2</v>
      </c>
      <c r="BN79" s="7">
        <f t="shared" si="9"/>
        <v>-5</v>
      </c>
      <c r="BO79" s="7">
        <f t="shared" ref="BO79:CY79" si="10">BP6-BO5+BP29-BP54</f>
        <v>4</v>
      </c>
      <c r="BP79" s="7">
        <f t="shared" si="10"/>
        <v>-5</v>
      </c>
      <c r="BQ79" s="7">
        <f t="shared" si="10"/>
        <v>0</v>
      </c>
      <c r="BR79" s="7">
        <f t="shared" si="10"/>
        <v>4</v>
      </c>
      <c r="BS79" s="7">
        <f t="shared" si="10"/>
        <v>-7</v>
      </c>
      <c r="BT79" s="7">
        <f t="shared" si="10"/>
        <v>-1</v>
      </c>
      <c r="BU79" s="7">
        <f t="shared" si="10"/>
        <v>2</v>
      </c>
      <c r="BV79" s="7">
        <f t="shared" si="10"/>
        <v>-2</v>
      </c>
      <c r="BW79" s="7">
        <f t="shared" si="10"/>
        <v>-4</v>
      </c>
      <c r="BX79" s="7">
        <f t="shared" si="10"/>
        <v>2</v>
      </c>
      <c r="BY79" s="7">
        <f t="shared" si="10"/>
        <v>-2</v>
      </c>
      <c r="BZ79" s="7">
        <f t="shared" si="10"/>
        <v>-7</v>
      </c>
      <c r="CA79" s="7">
        <f t="shared" si="10"/>
        <v>0</v>
      </c>
      <c r="CB79" s="7">
        <f t="shared" si="10"/>
        <v>0</v>
      </c>
      <c r="CC79" s="7">
        <f t="shared" si="10"/>
        <v>-2</v>
      </c>
      <c r="CD79" s="7">
        <f t="shared" si="10"/>
        <v>0</v>
      </c>
      <c r="CE79" s="7">
        <f t="shared" si="10"/>
        <v>6</v>
      </c>
      <c r="CF79" s="7">
        <f t="shared" si="10"/>
        <v>-1</v>
      </c>
      <c r="CG79" s="7">
        <f t="shared" si="10"/>
        <v>-9</v>
      </c>
      <c r="CH79" s="7">
        <f t="shared" si="10"/>
        <v>-2</v>
      </c>
      <c r="CI79" s="7">
        <f t="shared" si="10"/>
        <v>-4</v>
      </c>
      <c r="CJ79" s="7">
        <f t="shared" si="10"/>
        <v>3</v>
      </c>
      <c r="CK79" s="7">
        <f t="shared" si="10"/>
        <v>-6</v>
      </c>
      <c r="CL79" s="7">
        <f t="shared" si="10"/>
        <v>0</v>
      </c>
      <c r="CM79" s="7">
        <f t="shared" si="10"/>
        <v>3</v>
      </c>
      <c r="CN79" s="7">
        <f t="shared" si="10"/>
        <v>-5</v>
      </c>
      <c r="CO79" s="7">
        <f t="shared" si="10"/>
        <v>-2</v>
      </c>
      <c r="CP79" s="7">
        <f t="shared" si="10"/>
        <v>-1</v>
      </c>
      <c r="CQ79" s="7">
        <f t="shared" si="10"/>
        <v>0</v>
      </c>
      <c r="CR79" s="7">
        <f t="shared" si="10"/>
        <v>-3</v>
      </c>
      <c r="CS79" s="7">
        <f t="shared" si="10"/>
        <v>-2</v>
      </c>
      <c r="CT79" s="7">
        <f t="shared" si="10"/>
        <v>0</v>
      </c>
      <c r="CU79" s="7">
        <f t="shared" si="10"/>
        <v>-1</v>
      </c>
      <c r="CV79" s="7">
        <f t="shared" si="10"/>
        <v>-1</v>
      </c>
      <c r="CW79" s="7">
        <f t="shared" si="10"/>
        <v>-1</v>
      </c>
      <c r="CX79" s="7">
        <f t="shared" si="10"/>
        <v>-1</v>
      </c>
      <c r="CY79" s="7">
        <f t="shared" si="10"/>
        <v>0</v>
      </c>
      <c r="CZ79" s="7"/>
    </row>
    <row r="80" spans="1:109" x14ac:dyDescent="0.3">
      <c r="A80" s="10">
        <v>2004</v>
      </c>
      <c r="C80" s="7">
        <f t="shared" ref="C80:AH80" si="11">D7-C6+D30-D55</f>
        <v>63</v>
      </c>
      <c r="D80" s="7">
        <f t="shared" si="11"/>
        <v>3</v>
      </c>
      <c r="E80" s="7">
        <f t="shared" si="11"/>
        <v>2</v>
      </c>
      <c r="F80" s="7">
        <f t="shared" si="11"/>
        <v>2</v>
      </c>
      <c r="G80" s="7">
        <f t="shared" si="11"/>
        <v>-11</v>
      </c>
      <c r="H80" s="7">
        <f t="shared" si="11"/>
        <v>-5</v>
      </c>
      <c r="I80" s="7">
        <f t="shared" si="11"/>
        <v>12</v>
      </c>
      <c r="J80" s="7">
        <f t="shared" si="11"/>
        <v>-6</v>
      </c>
      <c r="K80" s="7">
        <f t="shared" si="11"/>
        <v>-9</v>
      </c>
      <c r="L80" s="7">
        <f t="shared" si="11"/>
        <v>1</v>
      </c>
      <c r="M80" s="7">
        <f t="shared" si="11"/>
        <v>2</v>
      </c>
      <c r="N80" s="7">
        <f t="shared" si="11"/>
        <v>-11</v>
      </c>
      <c r="O80" s="7">
        <f t="shared" si="11"/>
        <v>5</v>
      </c>
      <c r="P80" s="7">
        <f t="shared" si="11"/>
        <v>-2</v>
      </c>
      <c r="Q80" s="7">
        <f t="shared" si="11"/>
        <v>-7</v>
      </c>
      <c r="R80" s="7">
        <f t="shared" si="11"/>
        <v>4</v>
      </c>
      <c r="S80" s="7">
        <f t="shared" si="11"/>
        <v>24</v>
      </c>
      <c r="T80" s="7">
        <f t="shared" si="11"/>
        <v>8</v>
      </c>
      <c r="U80" s="7">
        <f t="shared" si="11"/>
        <v>40</v>
      </c>
      <c r="V80" s="7">
        <f t="shared" si="11"/>
        <v>20</v>
      </c>
      <c r="W80" s="7">
        <f t="shared" si="11"/>
        <v>16</v>
      </c>
      <c r="X80" s="7">
        <f t="shared" si="11"/>
        <v>-2</v>
      </c>
      <c r="Y80" s="7">
        <f t="shared" si="11"/>
        <v>40</v>
      </c>
      <c r="Z80" s="7">
        <f t="shared" si="11"/>
        <v>57</v>
      </c>
      <c r="AA80" s="7">
        <f t="shared" si="11"/>
        <v>-11</v>
      </c>
      <c r="AB80" s="7">
        <f t="shared" si="11"/>
        <v>61</v>
      </c>
      <c r="AC80" s="7">
        <f t="shared" si="11"/>
        <v>-9</v>
      </c>
      <c r="AD80" s="7">
        <f t="shared" si="11"/>
        <v>-12</v>
      </c>
      <c r="AE80" s="7">
        <f t="shared" si="11"/>
        <v>-26</v>
      </c>
      <c r="AF80" s="7">
        <f t="shared" si="11"/>
        <v>5</v>
      </c>
      <c r="AG80" s="7">
        <f t="shared" si="11"/>
        <v>-11</v>
      </c>
      <c r="AH80" s="7">
        <f t="shared" si="11"/>
        <v>-33</v>
      </c>
      <c r="AI80" s="7">
        <f t="shared" ref="AI80:BN80" si="12">AJ7-AI6+AJ30-AJ55</f>
        <v>-6</v>
      </c>
      <c r="AJ80" s="7">
        <f t="shared" si="12"/>
        <v>-19</v>
      </c>
      <c r="AK80" s="7">
        <f t="shared" si="12"/>
        <v>-10</v>
      </c>
      <c r="AL80" s="7">
        <f t="shared" si="12"/>
        <v>-28</v>
      </c>
      <c r="AM80" s="7">
        <f t="shared" si="12"/>
        <v>-2</v>
      </c>
      <c r="AN80" s="7">
        <f t="shared" si="12"/>
        <v>-6</v>
      </c>
      <c r="AO80" s="7">
        <f t="shared" si="12"/>
        <v>-35</v>
      </c>
      <c r="AP80" s="7">
        <f t="shared" si="12"/>
        <v>13</v>
      </c>
      <c r="AQ80" s="7">
        <f t="shared" si="12"/>
        <v>-16</v>
      </c>
      <c r="AR80" s="7">
        <f t="shared" si="12"/>
        <v>-2</v>
      </c>
      <c r="AS80" s="7">
        <f t="shared" si="12"/>
        <v>-17</v>
      </c>
      <c r="AT80" s="7">
        <f t="shared" si="12"/>
        <v>2</v>
      </c>
      <c r="AU80" s="7">
        <f t="shared" si="12"/>
        <v>-11</v>
      </c>
      <c r="AV80" s="7">
        <f t="shared" si="12"/>
        <v>-3</v>
      </c>
      <c r="AW80" s="7">
        <f t="shared" si="12"/>
        <v>-9</v>
      </c>
      <c r="AX80" s="7">
        <f t="shared" si="12"/>
        <v>-8</v>
      </c>
      <c r="AY80" s="7">
        <f t="shared" si="12"/>
        <v>-2</v>
      </c>
      <c r="AZ80" s="7">
        <f t="shared" si="12"/>
        <v>3</v>
      </c>
      <c r="BA80" s="7">
        <f t="shared" si="12"/>
        <v>-3</v>
      </c>
      <c r="BB80" s="7">
        <f t="shared" si="12"/>
        <v>8</v>
      </c>
      <c r="BC80" s="7">
        <f t="shared" si="12"/>
        <v>-4</v>
      </c>
      <c r="BD80" s="7">
        <f t="shared" si="12"/>
        <v>0</v>
      </c>
      <c r="BE80" s="7">
        <f t="shared" si="12"/>
        <v>1</v>
      </c>
      <c r="BF80" s="7">
        <f t="shared" si="12"/>
        <v>1</v>
      </c>
      <c r="BG80" s="7">
        <f t="shared" si="12"/>
        <v>-3</v>
      </c>
      <c r="BH80" s="7">
        <f t="shared" si="12"/>
        <v>-2</v>
      </c>
      <c r="BI80" s="7">
        <f t="shared" si="12"/>
        <v>4</v>
      </c>
      <c r="BJ80" s="7">
        <f t="shared" si="12"/>
        <v>-4</v>
      </c>
      <c r="BK80" s="7">
        <f t="shared" si="12"/>
        <v>1</v>
      </c>
      <c r="BL80" s="7">
        <f t="shared" si="12"/>
        <v>-6</v>
      </c>
      <c r="BM80" s="7">
        <f t="shared" si="12"/>
        <v>-3</v>
      </c>
      <c r="BN80" s="7">
        <f t="shared" si="12"/>
        <v>0</v>
      </c>
      <c r="BO80" s="7">
        <f t="shared" ref="BO80:CY80" si="13">BP7-BO6+BP30-BP55</f>
        <v>1</v>
      </c>
      <c r="BP80" s="7">
        <f t="shared" si="13"/>
        <v>0</v>
      </c>
      <c r="BQ80" s="7">
        <f t="shared" si="13"/>
        <v>-2</v>
      </c>
      <c r="BR80" s="7">
        <f t="shared" si="13"/>
        <v>-2</v>
      </c>
      <c r="BS80" s="7">
        <f t="shared" si="13"/>
        <v>-4</v>
      </c>
      <c r="BT80" s="7">
        <f t="shared" si="13"/>
        <v>-1</v>
      </c>
      <c r="BU80" s="7">
        <f t="shared" si="13"/>
        <v>-5</v>
      </c>
      <c r="BV80" s="7">
        <f t="shared" si="13"/>
        <v>-4</v>
      </c>
      <c r="BW80" s="7">
        <f t="shared" si="13"/>
        <v>5</v>
      </c>
      <c r="BX80" s="7">
        <f t="shared" si="13"/>
        <v>-8</v>
      </c>
      <c r="BY80" s="7">
        <f t="shared" si="13"/>
        <v>3</v>
      </c>
      <c r="BZ80" s="7">
        <f t="shared" si="13"/>
        <v>-3</v>
      </c>
      <c r="CA80" s="7">
        <f t="shared" si="13"/>
        <v>-1</v>
      </c>
      <c r="CB80" s="7">
        <f t="shared" si="13"/>
        <v>0</v>
      </c>
      <c r="CC80" s="7">
        <f t="shared" si="13"/>
        <v>2</v>
      </c>
      <c r="CD80" s="7">
        <f t="shared" si="13"/>
        <v>-2</v>
      </c>
      <c r="CE80" s="7">
        <f t="shared" si="13"/>
        <v>-2</v>
      </c>
      <c r="CF80" s="7">
        <f t="shared" si="13"/>
        <v>6</v>
      </c>
      <c r="CG80" s="7">
        <f t="shared" si="13"/>
        <v>-7</v>
      </c>
      <c r="CH80" s="7">
        <f t="shared" si="13"/>
        <v>-7</v>
      </c>
      <c r="CI80" s="7">
        <f t="shared" si="13"/>
        <v>-1</v>
      </c>
      <c r="CJ80" s="7">
        <f t="shared" si="13"/>
        <v>-3</v>
      </c>
      <c r="CK80" s="7">
        <f t="shared" si="13"/>
        <v>5</v>
      </c>
      <c r="CL80" s="7">
        <f t="shared" si="13"/>
        <v>-12</v>
      </c>
      <c r="CM80" s="7">
        <f t="shared" si="13"/>
        <v>-4</v>
      </c>
      <c r="CN80" s="7">
        <f t="shared" si="13"/>
        <v>-6</v>
      </c>
      <c r="CO80" s="7">
        <f t="shared" si="13"/>
        <v>4</v>
      </c>
      <c r="CP80" s="7">
        <f t="shared" si="13"/>
        <v>-4</v>
      </c>
      <c r="CQ80" s="7">
        <f t="shared" si="13"/>
        <v>0</v>
      </c>
      <c r="CR80" s="7">
        <f t="shared" si="13"/>
        <v>-2</v>
      </c>
      <c r="CS80" s="7">
        <f t="shared" si="13"/>
        <v>-1</v>
      </c>
      <c r="CT80" s="7">
        <f t="shared" si="13"/>
        <v>1</v>
      </c>
      <c r="CU80" s="7">
        <f t="shared" si="13"/>
        <v>-2</v>
      </c>
      <c r="CV80" s="7">
        <f t="shared" si="13"/>
        <v>-1</v>
      </c>
      <c r="CW80" s="7">
        <f t="shared" si="13"/>
        <v>1</v>
      </c>
      <c r="CX80" s="7">
        <f t="shared" si="13"/>
        <v>-3</v>
      </c>
      <c r="CY80" s="7">
        <f t="shared" si="13"/>
        <v>-1</v>
      </c>
      <c r="CZ80" s="7"/>
    </row>
    <row r="81" spans="1:104" x14ac:dyDescent="0.3">
      <c r="A81" s="10">
        <v>2005</v>
      </c>
      <c r="C81" s="7">
        <f t="shared" ref="C81:AH81" si="14">D8-C7+D31-D56</f>
        <v>-7</v>
      </c>
      <c r="D81" s="7">
        <f t="shared" si="14"/>
        <v>11</v>
      </c>
      <c r="E81" s="7">
        <f t="shared" si="14"/>
        <v>5</v>
      </c>
      <c r="F81" s="7">
        <f t="shared" si="14"/>
        <v>9</v>
      </c>
      <c r="G81" s="7">
        <f t="shared" si="14"/>
        <v>-17</v>
      </c>
      <c r="H81" s="7">
        <f t="shared" si="14"/>
        <v>-1</v>
      </c>
      <c r="I81" s="7">
        <f t="shared" si="14"/>
        <v>3</v>
      </c>
      <c r="J81" s="7">
        <f t="shared" si="14"/>
        <v>-2</v>
      </c>
      <c r="K81" s="7">
        <f t="shared" si="14"/>
        <v>-9</v>
      </c>
      <c r="L81" s="7">
        <f t="shared" si="14"/>
        <v>2</v>
      </c>
      <c r="M81" s="7">
        <f t="shared" si="14"/>
        <v>-10</v>
      </c>
      <c r="N81" s="7">
        <f t="shared" si="14"/>
        <v>3</v>
      </c>
      <c r="O81" s="7">
        <f t="shared" si="14"/>
        <v>-1</v>
      </c>
      <c r="P81" s="7">
        <f t="shared" si="14"/>
        <v>7</v>
      </c>
      <c r="Q81" s="7">
        <f t="shared" si="14"/>
        <v>-3</v>
      </c>
      <c r="R81" s="7">
        <f t="shared" si="14"/>
        <v>4</v>
      </c>
      <c r="S81" s="7">
        <f t="shared" si="14"/>
        <v>8</v>
      </c>
      <c r="T81" s="7">
        <f t="shared" si="14"/>
        <v>6</v>
      </c>
      <c r="U81" s="7">
        <f t="shared" si="14"/>
        <v>20</v>
      </c>
      <c r="V81" s="7">
        <f t="shared" si="14"/>
        <v>-3</v>
      </c>
      <c r="W81" s="7">
        <f t="shared" si="14"/>
        <v>17</v>
      </c>
      <c r="X81" s="7">
        <f t="shared" si="14"/>
        <v>17</v>
      </c>
      <c r="Y81" s="7">
        <f t="shared" si="14"/>
        <v>27</v>
      </c>
      <c r="Z81" s="7">
        <f t="shared" si="14"/>
        <v>4</v>
      </c>
      <c r="AA81" s="7">
        <f t="shared" si="14"/>
        <v>23</v>
      </c>
      <c r="AB81" s="7">
        <f t="shared" si="14"/>
        <v>-29</v>
      </c>
      <c r="AC81" s="7">
        <f t="shared" si="14"/>
        <v>9</v>
      </c>
      <c r="AD81" s="7">
        <f t="shared" si="14"/>
        <v>3</v>
      </c>
      <c r="AE81" s="7">
        <f t="shared" si="14"/>
        <v>-4</v>
      </c>
      <c r="AF81" s="7">
        <f t="shared" si="14"/>
        <v>-30</v>
      </c>
      <c r="AG81" s="7">
        <f t="shared" si="14"/>
        <v>4</v>
      </c>
      <c r="AH81" s="7">
        <f t="shared" si="14"/>
        <v>-25</v>
      </c>
      <c r="AI81" s="7">
        <f t="shared" ref="AI81:BN81" si="15">AJ8-AI7+AJ31-AJ56</f>
        <v>-10</v>
      </c>
      <c r="AJ81" s="7">
        <f t="shared" si="15"/>
        <v>-11</v>
      </c>
      <c r="AK81" s="7">
        <f t="shared" si="15"/>
        <v>10</v>
      </c>
      <c r="AL81" s="7">
        <f t="shared" si="15"/>
        <v>-4</v>
      </c>
      <c r="AM81" s="7">
        <f t="shared" si="15"/>
        <v>-11</v>
      </c>
      <c r="AN81" s="7">
        <f t="shared" si="15"/>
        <v>3</v>
      </c>
      <c r="AO81" s="7">
        <f t="shared" si="15"/>
        <v>-2</v>
      </c>
      <c r="AP81" s="7">
        <f t="shared" si="15"/>
        <v>3</v>
      </c>
      <c r="AQ81" s="7">
        <f t="shared" si="15"/>
        <v>-4</v>
      </c>
      <c r="AR81" s="7">
        <f t="shared" si="15"/>
        <v>-12</v>
      </c>
      <c r="AS81" s="7">
        <f t="shared" si="15"/>
        <v>8</v>
      </c>
      <c r="AT81" s="7">
        <f t="shared" si="15"/>
        <v>-14</v>
      </c>
      <c r="AU81" s="7">
        <f t="shared" si="15"/>
        <v>-1</v>
      </c>
      <c r="AV81" s="7">
        <f t="shared" si="15"/>
        <v>-5</v>
      </c>
      <c r="AW81" s="7">
        <f t="shared" si="15"/>
        <v>0</v>
      </c>
      <c r="AX81" s="7">
        <f t="shared" si="15"/>
        <v>10</v>
      </c>
      <c r="AY81" s="7">
        <f t="shared" si="15"/>
        <v>2</v>
      </c>
      <c r="AZ81" s="7">
        <f t="shared" si="15"/>
        <v>-13</v>
      </c>
      <c r="BA81" s="7">
        <f t="shared" si="15"/>
        <v>-9</v>
      </c>
      <c r="BB81" s="7">
        <f t="shared" si="15"/>
        <v>0</v>
      </c>
      <c r="BC81" s="7">
        <f t="shared" si="15"/>
        <v>3</v>
      </c>
      <c r="BD81" s="7">
        <f t="shared" si="15"/>
        <v>-7</v>
      </c>
      <c r="BE81" s="7">
        <f t="shared" si="15"/>
        <v>1</v>
      </c>
      <c r="BF81" s="7">
        <f t="shared" si="15"/>
        <v>0</v>
      </c>
      <c r="BG81" s="7">
        <f t="shared" si="15"/>
        <v>-2</v>
      </c>
      <c r="BH81" s="7">
        <f t="shared" si="15"/>
        <v>6</v>
      </c>
      <c r="BI81" s="7">
        <f t="shared" si="15"/>
        <v>-4</v>
      </c>
      <c r="BJ81" s="7">
        <f t="shared" si="15"/>
        <v>-2</v>
      </c>
      <c r="BK81" s="7">
        <f t="shared" si="15"/>
        <v>3</v>
      </c>
      <c r="BL81" s="7">
        <f t="shared" si="15"/>
        <v>5</v>
      </c>
      <c r="BM81" s="7">
        <f t="shared" si="15"/>
        <v>-3</v>
      </c>
      <c r="BN81" s="7">
        <f t="shared" si="15"/>
        <v>-3</v>
      </c>
      <c r="BO81" s="7">
        <f t="shared" ref="BO81:CY81" si="16">BP8-BO7+BP31-BP56</f>
        <v>-9</v>
      </c>
      <c r="BP81" s="7">
        <f t="shared" si="16"/>
        <v>-2</v>
      </c>
      <c r="BQ81" s="7">
        <f t="shared" si="16"/>
        <v>5</v>
      </c>
      <c r="BR81" s="7">
        <f t="shared" si="16"/>
        <v>-6</v>
      </c>
      <c r="BS81" s="7">
        <f t="shared" si="16"/>
        <v>1</v>
      </c>
      <c r="BT81" s="7">
        <f t="shared" si="16"/>
        <v>-5</v>
      </c>
      <c r="BU81" s="7">
        <f t="shared" si="16"/>
        <v>9</v>
      </c>
      <c r="BV81" s="7">
        <f t="shared" si="16"/>
        <v>2</v>
      </c>
      <c r="BW81" s="7">
        <f t="shared" si="16"/>
        <v>-9</v>
      </c>
      <c r="BX81" s="7">
        <f t="shared" si="16"/>
        <v>0</v>
      </c>
      <c r="BY81" s="7">
        <f t="shared" si="16"/>
        <v>-3</v>
      </c>
      <c r="BZ81" s="7">
        <f t="shared" si="16"/>
        <v>1</v>
      </c>
      <c r="CA81" s="7">
        <f t="shared" si="16"/>
        <v>-1</v>
      </c>
      <c r="CB81" s="7">
        <f t="shared" si="16"/>
        <v>-3</v>
      </c>
      <c r="CC81" s="7">
        <f t="shared" si="16"/>
        <v>4</v>
      </c>
      <c r="CD81" s="7">
        <f t="shared" si="16"/>
        <v>-1</v>
      </c>
      <c r="CE81" s="7">
        <f t="shared" si="16"/>
        <v>-4</v>
      </c>
      <c r="CF81" s="7">
        <f t="shared" si="16"/>
        <v>-1</v>
      </c>
      <c r="CG81" s="7">
        <f t="shared" si="16"/>
        <v>2</v>
      </c>
      <c r="CH81" s="7">
        <f t="shared" si="16"/>
        <v>2</v>
      </c>
      <c r="CI81" s="7">
        <f t="shared" si="16"/>
        <v>-7</v>
      </c>
      <c r="CJ81" s="7">
        <f t="shared" si="16"/>
        <v>-2</v>
      </c>
      <c r="CK81" s="7">
        <f t="shared" si="16"/>
        <v>5</v>
      </c>
      <c r="CL81" s="7">
        <f t="shared" si="16"/>
        <v>-8</v>
      </c>
      <c r="CM81" s="7">
        <f t="shared" si="16"/>
        <v>-1</v>
      </c>
      <c r="CN81" s="7">
        <f t="shared" si="16"/>
        <v>4</v>
      </c>
      <c r="CO81" s="7">
        <f t="shared" si="16"/>
        <v>-1</v>
      </c>
      <c r="CP81" s="7">
        <f t="shared" si="16"/>
        <v>1</v>
      </c>
      <c r="CQ81" s="7">
        <f t="shared" si="16"/>
        <v>-4</v>
      </c>
      <c r="CR81" s="7">
        <f t="shared" si="16"/>
        <v>1</v>
      </c>
      <c r="CS81" s="7">
        <f t="shared" si="16"/>
        <v>0</v>
      </c>
      <c r="CT81" s="7">
        <f t="shared" si="16"/>
        <v>-2</v>
      </c>
      <c r="CU81" s="7">
        <f t="shared" si="16"/>
        <v>0</v>
      </c>
      <c r="CV81" s="7">
        <f t="shared" si="16"/>
        <v>-1</v>
      </c>
      <c r="CW81" s="7">
        <f t="shared" si="16"/>
        <v>0</v>
      </c>
      <c r="CX81" s="7">
        <f t="shared" si="16"/>
        <v>0</v>
      </c>
      <c r="CY81" s="7">
        <f t="shared" si="16"/>
        <v>0</v>
      </c>
      <c r="CZ81" s="7"/>
    </row>
    <row r="82" spans="1:104" x14ac:dyDescent="0.3">
      <c r="A82" s="10">
        <v>2006</v>
      </c>
      <c r="C82" s="7">
        <f t="shared" ref="C82:AH82" si="17">D9-C8+D32-D57</f>
        <v>0</v>
      </c>
      <c r="D82" s="7">
        <f t="shared" si="17"/>
        <v>9</v>
      </c>
      <c r="E82" s="7">
        <f t="shared" si="17"/>
        <v>-3</v>
      </c>
      <c r="F82" s="7">
        <f t="shared" si="17"/>
        <v>-16</v>
      </c>
      <c r="G82" s="7">
        <f t="shared" si="17"/>
        <v>10</v>
      </c>
      <c r="H82" s="7">
        <f t="shared" si="17"/>
        <v>1</v>
      </c>
      <c r="I82" s="7">
        <f t="shared" si="17"/>
        <v>-4</v>
      </c>
      <c r="J82" s="7">
        <f t="shared" si="17"/>
        <v>-5</v>
      </c>
      <c r="K82" s="7">
        <f t="shared" si="17"/>
        <v>1</v>
      </c>
      <c r="L82" s="7">
        <f t="shared" si="17"/>
        <v>-7</v>
      </c>
      <c r="M82" s="7">
        <f t="shared" si="17"/>
        <v>-4</v>
      </c>
      <c r="N82" s="7">
        <f t="shared" si="17"/>
        <v>3</v>
      </c>
      <c r="O82" s="7">
        <f t="shared" si="17"/>
        <v>1</v>
      </c>
      <c r="P82" s="7">
        <f t="shared" si="17"/>
        <v>-5</v>
      </c>
      <c r="Q82" s="7">
        <f t="shared" si="17"/>
        <v>1</v>
      </c>
      <c r="R82" s="7">
        <f t="shared" si="17"/>
        <v>-4</v>
      </c>
      <c r="S82" s="7">
        <f t="shared" si="17"/>
        <v>-1</v>
      </c>
      <c r="T82" s="7">
        <f t="shared" si="17"/>
        <v>20</v>
      </c>
      <c r="U82" s="7">
        <f t="shared" si="17"/>
        <v>3</v>
      </c>
      <c r="V82" s="7">
        <f t="shared" si="17"/>
        <v>6</v>
      </c>
      <c r="W82" s="7">
        <f t="shared" si="17"/>
        <v>20</v>
      </c>
      <c r="X82" s="7">
        <f t="shared" si="17"/>
        <v>52</v>
      </c>
      <c r="Y82" s="7">
        <f t="shared" si="17"/>
        <v>-11</v>
      </c>
      <c r="Z82" s="7">
        <f t="shared" si="17"/>
        <v>26</v>
      </c>
      <c r="AA82" s="7">
        <f t="shared" si="17"/>
        <v>5</v>
      </c>
      <c r="AB82" s="7">
        <f t="shared" si="17"/>
        <v>-16</v>
      </c>
      <c r="AC82" s="7">
        <f t="shared" si="17"/>
        <v>-3</v>
      </c>
      <c r="AD82" s="7">
        <f t="shared" si="17"/>
        <v>2</v>
      </c>
      <c r="AE82" s="7">
        <f t="shared" si="17"/>
        <v>-30</v>
      </c>
      <c r="AF82" s="7">
        <f t="shared" si="17"/>
        <v>0</v>
      </c>
      <c r="AG82" s="7">
        <f t="shared" si="17"/>
        <v>-3</v>
      </c>
      <c r="AH82" s="7">
        <f t="shared" si="17"/>
        <v>-16</v>
      </c>
      <c r="AI82" s="7">
        <f t="shared" ref="AI82:BN82" si="18">AJ9-AI8+AJ32-AJ57</f>
        <v>-16</v>
      </c>
      <c r="AJ82" s="7">
        <f t="shared" si="18"/>
        <v>5</v>
      </c>
      <c r="AK82" s="7">
        <f t="shared" si="18"/>
        <v>-7</v>
      </c>
      <c r="AL82" s="7">
        <f t="shared" si="18"/>
        <v>5</v>
      </c>
      <c r="AM82" s="7">
        <f t="shared" si="18"/>
        <v>-20</v>
      </c>
      <c r="AN82" s="7">
        <f t="shared" si="18"/>
        <v>-4</v>
      </c>
      <c r="AO82" s="7">
        <f t="shared" si="18"/>
        <v>-9</v>
      </c>
      <c r="AP82" s="7">
        <f t="shared" si="18"/>
        <v>-5</v>
      </c>
      <c r="AQ82" s="7">
        <f t="shared" si="18"/>
        <v>5</v>
      </c>
      <c r="AR82" s="7">
        <f t="shared" si="18"/>
        <v>-7</v>
      </c>
      <c r="AS82" s="7">
        <f t="shared" si="18"/>
        <v>-9</v>
      </c>
      <c r="AT82" s="7">
        <f t="shared" si="18"/>
        <v>-7</v>
      </c>
      <c r="AU82" s="7">
        <f t="shared" si="18"/>
        <v>-4</v>
      </c>
      <c r="AV82" s="7">
        <f t="shared" si="18"/>
        <v>-2</v>
      </c>
      <c r="AW82" s="7">
        <f t="shared" si="18"/>
        <v>1</v>
      </c>
      <c r="AX82" s="7">
        <f t="shared" si="18"/>
        <v>-3</v>
      </c>
      <c r="AY82" s="7">
        <f t="shared" si="18"/>
        <v>0</v>
      </c>
      <c r="AZ82" s="7">
        <f t="shared" si="18"/>
        <v>-4</v>
      </c>
      <c r="BA82" s="7">
        <f t="shared" si="18"/>
        <v>-2</v>
      </c>
      <c r="BB82" s="7">
        <f t="shared" si="18"/>
        <v>4</v>
      </c>
      <c r="BC82" s="7">
        <f t="shared" si="18"/>
        <v>1</v>
      </c>
      <c r="BD82" s="7">
        <f t="shared" si="18"/>
        <v>0</v>
      </c>
      <c r="BE82" s="7">
        <f t="shared" si="18"/>
        <v>1</v>
      </c>
      <c r="BF82" s="7">
        <f t="shared" si="18"/>
        <v>-1</v>
      </c>
      <c r="BG82" s="7">
        <f t="shared" si="18"/>
        <v>2</v>
      </c>
      <c r="BH82" s="7">
        <f t="shared" si="18"/>
        <v>2</v>
      </c>
      <c r="BI82" s="7">
        <f t="shared" si="18"/>
        <v>-5</v>
      </c>
      <c r="BJ82" s="7">
        <f t="shared" si="18"/>
        <v>2</v>
      </c>
      <c r="BK82" s="7">
        <f t="shared" si="18"/>
        <v>4</v>
      </c>
      <c r="BL82" s="7">
        <f t="shared" si="18"/>
        <v>-6</v>
      </c>
      <c r="BM82" s="7">
        <f t="shared" si="18"/>
        <v>2</v>
      </c>
      <c r="BN82" s="7">
        <f t="shared" si="18"/>
        <v>-8</v>
      </c>
      <c r="BO82" s="7">
        <f t="shared" ref="BO82:CY82" si="19">BP9-BO8+BP32-BP57</f>
        <v>13</v>
      </c>
      <c r="BP82" s="7">
        <f t="shared" si="19"/>
        <v>-9</v>
      </c>
      <c r="BQ82" s="7">
        <f t="shared" si="19"/>
        <v>2</v>
      </c>
      <c r="BR82" s="7">
        <f t="shared" si="19"/>
        <v>-5</v>
      </c>
      <c r="BS82" s="7">
        <f t="shared" si="19"/>
        <v>-3</v>
      </c>
      <c r="BT82" s="7">
        <f t="shared" si="19"/>
        <v>4</v>
      </c>
      <c r="BU82" s="7">
        <f t="shared" si="19"/>
        <v>2</v>
      </c>
      <c r="BV82" s="7">
        <f t="shared" si="19"/>
        <v>-3</v>
      </c>
      <c r="BW82" s="7">
        <f t="shared" si="19"/>
        <v>-2</v>
      </c>
      <c r="BX82" s="7">
        <f t="shared" si="19"/>
        <v>-1</v>
      </c>
      <c r="BY82" s="7">
        <f t="shared" si="19"/>
        <v>-1</v>
      </c>
      <c r="BZ82" s="7">
        <f t="shared" si="19"/>
        <v>3</v>
      </c>
      <c r="CA82" s="7">
        <f t="shared" si="19"/>
        <v>-3</v>
      </c>
      <c r="CB82" s="7">
        <f t="shared" si="19"/>
        <v>1</v>
      </c>
      <c r="CC82" s="7">
        <f t="shared" si="19"/>
        <v>1</v>
      </c>
      <c r="CD82" s="7">
        <f t="shared" si="19"/>
        <v>0</v>
      </c>
      <c r="CE82" s="7">
        <f t="shared" si="19"/>
        <v>3</v>
      </c>
      <c r="CF82" s="7">
        <f t="shared" si="19"/>
        <v>-1</v>
      </c>
      <c r="CG82" s="7">
        <f t="shared" si="19"/>
        <v>-1</v>
      </c>
      <c r="CH82" s="7">
        <f t="shared" si="19"/>
        <v>2</v>
      </c>
      <c r="CI82" s="7">
        <f t="shared" si="19"/>
        <v>-4</v>
      </c>
      <c r="CJ82" s="7">
        <f t="shared" si="19"/>
        <v>-1</v>
      </c>
      <c r="CK82" s="7">
        <f t="shared" si="19"/>
        <v>3</v>
      </c>
      <c r="CL82" s="7">
        <f t="shared" si="19"/>
        <v>-3</v>
      </c>
      <c r="CM82" s="7">
        <f t="shared" si="19"/>
        <v>0</v>
      </c>
      <c r="CN82" s="7">
        <f t="shared" si="19"/>
        <v>-1</v>
      </c>
      <c r="CO82" s="7">
        <f t="shared" si="19"/>
        <v>-1</v>
      </c>
      <c r="CP82" s="7">
        <f t="shared" si="19"/>
        <v>6</v>
      </c>
      <c r="CQ82" s="7">
        <f t="shared" si="19"/>
        <v>-8</v>
      </c>
      <c r="CR82" s="7">
        <f t="shared" si="19"/>
        <v>1</v>
      </c>
      <c r="CS82" s="7">
        <f t="shared" si="19"/>
        <v>-3</v>
      </c>
      <c r="CT82" s="7">
        <f t="shared" si="19"/>
        <v>3</v>
      </c>
      <c r="CU82" s="7">
        <f t="shared" si="19"/>
        <v>1</v>
      </c>
      <c r="CV82" s="7">
        <f t="shared" si="19"/>
        <v>-3</v>
      </c>
      <c r="CW82" s="7">
        <f t="shared" si="19"/>
        <v>-2</v>
      </c>
      <c r="CX82" s="7">
        <f t="shared" si="19"/>
        <v>0</v>
      </c>
      <c r="CY82" s="7">
        <f t="shared" si="19"/>
        <v>-1</v>
      </c>
      <c r="CZ82" s="7"/>
    </row>
    <row r="83" spans="1:104" x14ac:dyDescent="0.3">
      <c r="A83" s="10">
        <v>2007</v>
      </c>
      <c r="C83" s="7">
        <f t="shared" ref="C83:AH83" si="20">D10-C9+D33-D58</f>
        <v>2</v>
      </c>
      <c r="D83" s="7">
        <f t="shared" si="20"/>
        <v>-3</v>
      </c>
      <c r="E83" s="7">
        <f t="shared" si="20"/>
        <v>6</v>
      </c>
      <c r="F83" s="7">
        <f t="shared" si="20"/>
        <v>-17</v>
      </c>
      <c r="G83" s="7">
        <f t="shared" si="20"/>
        <v>-5</v>
      </c>
      <c r="H83" s="7">
        <f t="shared" si="20"/>
        <v>2</v>
      </c>
      <c r="I83" s="7">
        <f t="shared" si="20"/>
        <v>-2</v>
      </c>
      <c r="J83" s="7">
        <f t="shared" si="20"/>
        <v>-2</v>
      </c>
      <c r="K83" s="7">
        <f t="shared" si="20"/>
        <v>-4</v>
      </c>
      <c r="L83" s="7">
        <f t="shared" si="20"/>
        <v>-1</v>
      </c>
      <c r="M83" s="7">
        <f t="shared" si="20"/>
        <v>4</v>
      </c>
      <c r="N83" s="7">
        <f t="shared" si="20"/>
        <v>-5</v>
      </c>
      <c r="O83" s="7">
        <f t="shared" si="20"/>
        <v>-3</v>
      </c>
      <c r="P83" s="7">
        <f t="shared" si="20"/>
        <v>8</v>
      </c>
      <c r="Q83" s="7">
        <f t="shared" si="20"/>
        <v>-3</v>
      </c>
      <c r="R83" s="7">
        <f t="shared" si="20"/>
        <v>-1</v>
      </c>
      <c r="S83" s="7">
        <f t="shared" si="20"/>
        <v>1</v>
      </c>
      <c r="T83" s="7">
        <f t="shared" si="20"/>
        <v>7</v>
      </c>
      <c r="U83" s="7">
        <f t="shared" si="20"/>
        <v>3</v>
      </c>
      <c r="V83" s="7">
        <f t="shared" si="20"/>
        <v>10</v>
      </c>
      <c r="W83" s="7">
        <f t="shared" si="20"/>
        <v>17</v>
      </c>
      <c r="X83" s="7">
        <f t="shared" si="20"/>
        <v>10</v>
      </c>
      <c r="Y83" s="7">
        <f t="shared" si="20"/>
        <v>-4</v>
      </c>
      <c r="Z83" s="7">
        <f t="shared" si="20"/>
        <v>12</v>
      </c>
      <c r="AA83" s="7">
        <f t="shared" si="20"/>
        <v>-4</v>
      </c>
      <c r="AB83" s="7">
        <f t="shared" si="20"/>
        <v>3</v>
      </c>
      <c r="AC83" s="7">
        <f t="shared" si="20"/>
        <v>3</v>
      </c>
      <c r="AD83" s="7">
        <f t="shared" si="20"/>
        <v>-1</v>
      </c>
      <c r="AE83" s="7">
        <f t="shared" si="20"/>
        <v>-3</v>
      </c>
      <c r="AF83" s="7">
        <f t="shared" si="20"/>
        <v>-23</v>
      </c>
      <c r="AG83" s="7">
        <f t="shared" si="20"/>
        <v>2</v>
      </c>
      <c r="AH83" s="7">
        <f t="shared" si="20"/>
        <v>-12</v>
      </c>
      <c r="AI83" s="7">
        <f t="shared" ref="AI83:BN83" si="21">AJ10-AI9+AJ33-AJ58</f>
        <v>-15</v>
      </c>
      <c r="AJ83" s="7">
        <f t="shared" si="21"/>
        <v>20</v>
      </c>
      <c r="AK83" s="7">
        <f t="shared" si="21"/>
        <v>-11</v>
      </c>
      <c r="AL83" s="7">
        <f t="shared" si="21"/>
        <v>-22</v>
      </c>
      <c r="AM83" s="7">
        <f t="shared" si="21"/>
        <v>3</v>
      </c>
      <c r="AN83" s="7">
        <f t="shared" si="21"/>
        <v>-8</v>
      </c>
      <c r="AO83" s="7">
        <f t="shared" si="21"/>
        <v>-1</v>
      </c>
      <c r="AP83" s="7">
        <f t="shared" si="21"/>
        <v>-2</v>
      </c>
      <c r="AQ83" s="7">
        <f t="shared" si="21"/>
        <v>0</v>
      </c>
      <c r="AR83" s="7">
        <f t="shared" si="21"/>
        <v>-3</v>
      </c>
      <c r="AS83" s="7">
        <f t="shared" si="21"/>
        <v>9</v>
      </c>
      <c r="AT83" s="7">
        <f t="shared" si="21"/>
        <v>-9</v>
      </c>
      <c r="AU83" s="7">
        <f t="shared" si="21"/>
        <v>-1</v>
      </c>
      <c r="AV83" s="7">
        <f t="shared" si="21"/>
        <v>-5</v>
      </c>
      <c r="AW83" s="7">
        <f t="shared" si="21"/>
        <v>9</v>
      </c>
      <c r="AX83" s="7">
        <f t="shared" si="21"/>
        <v>0</v>
      </c>
      <c r="AY83" s="7">
        <f t="shared" si="21"/>
        <v>-9</v>
      </c>
      <c r="AZ83" s="7">
        <f t="shared" si="21"/>
        <v>10</v>
      </c>
      <c r="BA83" s="7">
        <f t="shared" si="21"/>
        <v>-9</v>
      </c>
      <c r="BB83" s="7">
        <f t="shared" si="21"/>
        <v>2</v>
      </c>
      <c r="BC83" s="7">
        <f t="shared" si="21"/>
        <v>-7</v>
      </c>
      <c r="BD83" s="7">
        <f t="shared" si="21"/>
        <v>-4</v>
      </c>
      <c r="BE83" s="7">
        <f t="shared" si="21"/>
        <v>4</v>
      </c>
      <c r="BF83" s="7">
        <f t="shared" si="21"/>
        <v>-1</v>
      </c>
      <c r="BG83" s="7">
        <f t="shared" si="21"/>
        <v>6</v>
      </c>
      <c r="BH83" s="7">
        <f t="shared" si="21"/>
        <v>-10</v>
      </c>
      <c r="BI83" s="7">
        <f t="shared" si="21"/>
        <v>1</v>
      </c>
      <c r="BJ83" s="7">
        <f t="shared" si="21"/>
        <v>3</v>
      </c>
      <c r="BK83" s="7">
        <f t="shared" si="21"/>
        <v>-3</v>
      </c>
      <c r="BL83" s="7">
        <f t="shared" si="21"/>
        <v>-2</v>
      </c>
      <c r="BM83" s="7">
        <f t="shared" si="21"/>
        <v>-3</v>
      </c>
      <c r="BN83" s="7">
        <f t="shared" si="21"/>
        <v>2</v>
      </c>
      <c r="BO83" s="7">
        <f t="shared" ref="BO83:CY83" si="22">BP10-BO9+BP33-BP58</f>
        <v>-4</v>
      </c>
      <c r="BP83" s="7">
        <f t="shared" si="22"/>
        <v>-1</v>
      </c>
      <c r="BQ83" s="7">
        <f t="shared" si="22"/>
        <v>-2</v>
      </c>
      <c r="BR83" s="7">
        <f t="shared" si="22"/>
        <v>-1</v>
      </c>
      <c r="BS83" s="7">
        <f t="shared" si="22"/>
        <v>2</v>
      </c>
      <c r="BT83" s="7">
        <f t="shared" si="22"/>
        <v>2</v>
      </c>
      <c r="BU83" s="7">
        <f t="shared" si="22"/>
        <v>-3</v>
      </c>
      <c r="BV83" s="7">
        <f t="shared" si="22"/>
        <v>0</v>
      </c>
      <c r="BW83" s="7">
        <f t="shared" si="22"/>
        <v>-2</v>
      </c>
      <c r="BX83" s="7">
        <f t="shared" si="22"/>
        <v>-7</v>
      </c>
      <c r="BY83" s="7">
        <f t="shared" si="22"/>
        <v>1</v>
      </c>
      <c r="BZ83" s="7">
        <f t="shared" si="22"/>
        <v>-1</v>
      </c>
      <c r="CA83" s="7">
        <f t="shared" si="22"/>
        <v>3</v>
      </c>
      <c r="CB83" s="7">
        <f t="shared" si="22"/>
        <v>2</v>
      </c>
      <c r="CC83" s="7">
        <f t="shared" si="22"/>
        <v>0</v>
      </c>
      <c r="CD83" s="7">
        <f t="shared" si="22"/>
        <v>0</v>
      </c>
      <c r="CE83" s="7">
        <f t="shared" si="22"/>
        <v>-1</v>
      </c>
      <c r="CF83" s="7">
        <f t="shared" si="22"/>
        <v>0</v>
      </c>
      <c r="CG83" s="7">
        <f t="shared" si="22"/>
        <v>-4</v>
      </c>
      <c r="CH83" s="7">
        <f t="shared" si="22"/>
        <v>-1</v>
      </c>
      <c r="CI83" s="7">
        <f t="shared" si="22"/>
        <v>-4</v>
      </c>
      <c r="CJ83" s="7">
        <f t="shared" si="22"/>
        <v>2</v>
      </c>
      <c r="CK83" s="7">
        <f t="shared" si="22"/>
        <v>2</v>
      </c>
      <c r="CL83" s="7">
        <f t="shared" si="22"/>
        <v>-2</v>
      </c>
      <c r="CM83" s="7">
        <f t="shared" si="22"/>
        <v>0</v>
      </c>
      <c r="CN83" s="7">
        <f t="shared" si="22"/>
        <v>1</v>
      </c>
      <c r="CO83" s="7">
        <f t="shared" si="22"/>
        <v>-4</v>
      </c>
      <c r="CP83" s="7">
        <f t="shared" si="22"/>
        <v>3</v>
      </c>
      <c r="CQ83" s="7">
        <f t="shared" si="22"/>
        <v>-2</v>
      </c>
      <c r="CR83" s="7">
        <f t="shared" si="22"/>
        <v>0</v>
      </c>
      <c r="CS83" s="7">
        <f t="shared" si="22"/>
        <v>4</v>
      </c>
      <c r="CT83" s="7">
        <f t="shared" si="22"/>
        <v>-4</v>
      </c>
      <c r="CU83" s="7">
        <f t="shared" si="22"/>
        <v>-1</v>
      </c>
      <c r="CV83" s="7">
        <f t="shared" si="22"/>
        <v>1</v>
      </c>
      <c r="CW83" s="7">
        <f t="shared" si="22"/>
        <v>-3</v>
      </c>
      <c r="CX83" s="7">
        <f t="shared" si="22"/>
        <v>2</v>
      </c>
      <c r="CY83" s="7">
        <f t="shared" si="22"/>
        <v>0</v>
      </c>
      <c r="CZ83" s="7"/>
    </row>
    <row r="84" spans="1:104" x14ac:dyDescent="0.3">
      <c r="A84" s="10">
        <v>2008</v>
      </c>
      <c r="C84" s="7">
        <f t="shared" ref="C84:AH84" si="23">D11-C10+D34-D59</f>
        <v>-14</v>
      </c>
      <c r="D84" s="7">
        <f t="shared" si="23"/>
        <v>-18</v>
      </c>
      <c r="E84" s="7">
        <f t="shared" si="23"/>
        <v>4</v>
      </c>
      <c r="F84" s="7">
        <f t="shared" si="23"/>
        <v>-4</v>
      </c>
      <c r="G84" s="7">
        <f t="shared" si="23"/>
        <v>-1</v>
      </c>
      <c r="H84" s="7">
        <f t="shared" si="23"/>
        <v>-7</v>
      </c>
      <c r="I84" s="7">
        <f t="shared" si="23"/>
        <v>-5</v>
      </c>
      <c r="J84" s="7">
        <f t="shared" si="23"/>
        <v>4</v>
      </c>
      <c r="K84" s="7">
        <f t="shared" si="23"/>
        <v>-6</v>
      </c>
      <c r="L84" s="7">
        <f t="shared" si="23"/>
        <v>-8</v>
      </c>
      <c r="M84" s="7">
        <f t="shared" si="23"/>
        <v>7</v>
      </c>
      <c r="N84" s="7">
        <f t="shared" si="23"/>
        <v>2</v>
      </c>
      <c r="O84" s="7">
        <f t="shared" si="23"/>
        <v>-5</v>
      </c>
      <c r="P84" s="7">
        <f t="shared" si="23"/>
        <v>-3</v>
      </c>
      <c r="Q84" s="7">
        <f t="shared" si="23"/>
        <v>0</v>
      </c>
      <c r="R84" s="7">
        <f t="shared" si="23"/>
        <v>2</v>
      </c>
      <c r="S84" s="7">
        <f t="shared" si="23"/>
        <v>-1</v>
      </c>
      <c r="T84" s="7">
        <f t="shared" si="23"/>
        <v>2</v>
      </c>
      <c r="U84" s="7">
        <f t="shared" si="23"/>
        <v>9</v>
      </c>
      <c r="V84" s="7">
        <f t="shared" si="23"/>
        <v>28</v>
      </c>
      <c r="W84" s="7">
        <f t="shared" si="23"/>
        <v>20</v>
      </c>
      <c r="X84" s="7">
        <f t="shared" si="23"/>
        <v>31</v>
      </c>
      <c r="Y84" s="7">
        <f t="shared" si="23"/>
        <v>16</v>
      </c>
      <c r="Z84" s="7">
        <f t="shared" si="23"/>
        <v>12</v>
      </c>
      <c r="AA84" s="7">
        <f t="shared" si="23"/>
        <v>30</v>
      </c>
      <c r="AB84" s="7">
        <f t="shared" si="23"/>
        <v>-16</v>
      </c>
      <c r="AC84" s="7">
        <f t="shared" si="23"/>
        <v>-9</v>
      </c>
      <c r="AD84" s="7">
        <f t="shared" si="23"/>
        <v>-29</v>
      </c>
      <c r="AE84" s="7">
        <f t="shared" si="23"/>
        <v>23</v>
      </c>
      <c r="AF84" s="7">
        <f t="shared" si="23"/>
        <v>0</v>
      </c>
      <c r="AG84" s="7">
        <f t="shared" si="23"/>
        <v>-13</v>
      </c>
      <c r="AH84" s="7">
        <f t="shared" si="23"/>
        <v>-25</v>
      </c>
      <c r="AI84" s="7">
        <f t="shared" ref="AI84:BN84" si="24">AJ11-AI10+AJ34-AJ59</f>
        <v>11</v>
      </c>
      <c r="AJ84" s="7">
        <f t="shared" si="24"/>
        <v>-8</v>
      </c>
      <c r="AK84" s="7">
        <f t="shared" si="24"/>
        <v>11</v>
      </c>
      <c r="AL84" s="7">
        <f t="shared" si="24"/>
        <v>-11</v>
      </c>
      <c r="AM84" s="7">
        <f t="shared" si="24"/>
        <v>-1</v>
      </c>
      <c r="AN84" s="7">
        <f t="shared" si="24"/>
        <v>1</v>
      </c>
      <c r="AO84" s="7">
        <f t="shared" si="24"/>
        <v>-27</v>
      </c>
      <c r="AP84" s="7">
        <f t="shared" si="24"/>
        <v>17</v>
      </c>
      <c r="AQ84" s="7">
        <f t="shared" si="24"/>
        <v>6</v>
      </c>
      <c r="AR84" s="7">
        <f t="shared" si="24"/>
        <v>-8</v>
      </c>
      <c r="AS84" s="7">
        <f t="shared" si="24"/>
        <v>-15</v>
      </c>
      <c r="AT84" s="7">
        <f t="shared" si="24"/>
        <v>4</v>
      </c>
      <c r="AU84" s="7">
        <f t="shared" si="24"/>
        <v>4</v>
      </c>
      <c r="AV84" s="7">
        <f t="shared" si="24"/>
        <v>-8</v>
      </c>
      <c r="AW84" s="7">
        <f t="shared" si="24"/>
        <v>-5</v>
      </c>
      <c r="AX84" s="7">
        <f t="shared" si="24"/>
        <v>5</v>
      </c>
      <c r="AY84" s="7">
        <f t="shared" si="24"/>
        <v>-7</v>
      </c>
      <c r="AZ84" s="7">
        <f t="shared" si="24"/>
        <v>1</v>
      </c>
      <c r="BA84" s="7">
        <f t="shared" si="24"/>
        <v>-4</v>
      </c>
      <c r="BB84" s="7">
        <f t="shared" si="24"/>
        <v>3</v>
      </c>
      <c r="BC84" s="7">
        <f t="shared" si="24"/>
        <v>-3</v>
      </c>
      <c r="BD84" s="7">
        <f t="shared" si="24"/>
        <v>6</v>
      </c>
      <c r="BE84" s="7">
        <f t="shared" si="24"/>
        <v>-3</v>
      </c>
      <c r="BF84" s="7">
        <f t="shared" si="24"/>
        <v>-13</v>
      </c>
      <c r="BG84" s="7">
        <f t="shared" si="24"/>
        <v>9</v>
      </c>
      <c r="BH84" s="7">
        <f t="shared" si="24"/>
        <v>-4</v>
      </c>
      <c r="BI84" s="7">
        <f t="shared" si="24"/>
        <v>5</v>
      </c>
      <c r="BJ84" s="7">
        <f t="shared" si="24"/>
        <v>-8</v>
      </c>
      <c r="BK84" s="7">
        <f t="shared" si="24"/>
        <v>5</v>
      </c>
      <c r="BL84" s="7">
        <f t="shared" si="24"/>
        <v>4</v>
      </c>
      <c r="BM84" s="7">
        <f t="shared" si="24"/>
        <v>-9</v>
      </c>
      <c r="BN84" s="7">
        <f t="shared" si="24"/>
        <v>1</v>
      </c>
      <c r="BO84" s="7">
        <f t="shared" ref="BO84:CY84" si="25">BP11-BO10+BP34-BP59</f>
        <v>2</v>
      </c>
      <c r="BP84" s="7">
        <f t="shared" si="25"/>
        <v>-5</v>
      </c>
      <c r="BQ84" s="7">
        <f t="shared" si="25"/>
        <v>5</v>
      </c>
      <c r="BR84" s="7">
        <f t="shared" si="25"/>
        <v>-1</v>
      </c>
      <c r="BS84" s="7">
        <f t="shared" si="25"/>
        <v>-1</v>
      </c>
      <c r="BT84" s="7">
        <f t="shared" si="25"/>
        <v>-6</v>
      </c>
      <c r="BU84" s="7">
        <f t="shared" si="25"/>
        <v>-2</v>
      </c>
      <c r="BV84" s="7">
        <f t="shared" si="25"/>
        <v>1</v>
      </c>
      <c r="BW84" s="7">
        <f t="shared" si="25"/>
        <v>0</v>
      </c>
      <c r="BX84" s="7">
        <f t="shared" si="25"/>
        <v>-2</v>
      </c>
      <c r="BY84" s="7">
        <f t="shared" si="25"/>
        <v>-1</v>
      </c>
      <c r="BZ84" s="7">
        <f t="shared" si="25"/>
        <v>0</v>
      </c>
      <c r="CA84" s="7">
        <f t="shared" si="25"/>
        <v>7</v>
      </c>
      <c r="CB84" s="7">
        <f t="shared" si="25"/>
        <v>-6</v>
      </c>
      <c r="CC84" s="7">
        <f t="shared" si="25"/>
        <v>4</v>
      </c>
      <c r="CD84" s="7">
        <f t="shared" si="25"/>
        <v>-1</v>
      </c>
      <c r="CE84" s="7">
        <f t="shared" si="25"/>
        <v>2</v>
      </c>
      <c r="CF84" s="7">
        <f t="shared" si="25"/>
        <v>0</v>
      </c>
      <c r="CG84" s="7">
        <f t="shared" si="25"/>
        <v>3</v>
      </c>
      <c r="CH84" s="7">
        <f t="shared" si="25"/>
        <v>-4</v>
      </c>
      <c r="CI84" s="7">
        <f t="shared" si="25"/>
        <v>0</v>
      </c>
      <c r="CJ84" s="7">
        <f t="shared" si="25"/>
        <v>5</v>
      </c>
      <c r="CK84" s="7">
        <f t="shared" si="25"/>
        <v>-2</v>
      </c>
      <c r="CL84" s="7">
        <f t="shared" si="25"/>
        <v>-3</v>
      </c>
      <c r="CM84" s="7">
        <f t="shared" si="25"/>
        <v>2</v>
      </c>
      <c r="CN84" s="7">
        <f t="shared" si="25"/>
        <v>0</v>
      </c>
      <c r="CO84" s="7">
        <f t="shared" si="25"/>
        <v>-4</v>
      </c>
      <c r="CP84" s="7">
        <f t="shared" si="25"/>
        <v>3</v>
      </c>
      <c r="CQ84" s="7">
        <f t="shared" si="25"/>
        <v>2</v>
      </c>
      <c r="CR84" s="7">
        <f t="shared" si="25"/>
        <v>-2</v>
      </c>
      <c r="CS84" s="7">
        <f t="shared" si="25"/>
        <v>-1</v>
      </c>
      <c r="CT84" s="7">
        <f t="shared" si="25"/>
        <v>0</v>
      </c>
      <c r="CU84" s="7">
        <f t="shared" si="25"/>
        <v>0</v>
      </c>
      <c r="CV84" s="7">
        <f t="shared" si="25"/>
        <v>-1</v>
      </c>
      <c r="CW84" s="7">
        <f t="shared" si="25"/>
        <v>-2</v>
      </c>
      <c r="CX84" s="7">
        <f t="shared" si="25"/>
        <v>2</v>
      </c>
      <c r="CY84" s="7">
        <f t="shared" si="25"/>
        <v>-1</v>
      </c>
      <c r="CZ84" s="7"/>
    </row>
    <row r="85" spans="1:104" x14ac:dyDescent="0.3">
      <c r="A85" s="10">
        <v>2009</v>
      </c>
      <c r="C85" s="7">
        <f t="shared" ref="C85:AH85" si="26">D12-C11+D35-D60</f>
        <v>7</v>
      </c>
      <c r="D85" s="7">
        <f t="shared" si="26"/>
        <v>-18</v>
      </c>
      <c r="E85" s="7">
        <f t="shared" si="26"/>
        <v>-14</v>
      </c>
      <c r="F85" s="7">
        <f t="shared" si="26"/>
        <v>5</v>
      </c>
      <c r="G85" s="7">
        <f t="shared" si="26"/>
        <v>-10</v>
      </c>
      <c r="H85" s="7">
        <f t="shared" si="26"/>
        <v>-8</v>
      </c>
      <c r="I85" s="7">
        <f t="shared" si="26"/>
        <v>6</v>
      </c>
      <c r="J85" s="7">
        <f t="shared" si="26"/>
        <v>-17</v>
      </c>
      <c r="K85" s="7">
        <f t="shared" si="26"/>
        <v>2</v>
      </c>
      <c r="L85" s="7">
        <f t="shared" si="26"/>
        <v>6</v>
      </c>
      <c r="M85" s="7">
        <f t="shared" si="26"/>
        <v>-8</v>
      </c>
      <c r="N85" s="7">
        <f t="shared" si="26"/>
        <v>7</v>
      </c>
      <c r="O85" s="7">
        <f t="shared" si="26"/>
        <v>-4</v>
      </c>
      <c r="P85" s="7">
        <f t="shared" si="26"/>
        <v>-6</v>
      </c>
      <c r="Q85" s="7">
        <f t="shared" si="26"/>
        <v>-6</v>
      </c>
      <c r="R85" s="7">
        <f t="shared" si="26"/>
        <v>7</v>
      </c>
      <c r="S85" s="7">
        <f t="shared" si="26"/>
        <v>11</v>
      </c>
      <c r="T85" s="7">
        <f t="shared" si="26"/>
        <v>11</v>
      </c>
      <c r="U85" s="7">
        <f t="shared" si="26"/>
        <v>42</v>
      </c>
      <c r="V85" s="7">
        <f t="shared" si="26"/>
        <v>-7</v>
      </c>
      <c r="W85" s="7">
        <f t="shared" si="26"/>
        <v>90</v>
      </c>
      <c r="X85" s="7">
        <f t="shared" si="26"/>
        <v>30</v>
      </c>
      <c r="Y85" s="7">
        <f t="shared" si="26"/>
        <v>41</v>
      </c>
      <c r="Z85" s="7">
        <f t="shared" si="26"/>
        <v>16</v>
      </c>
      <c r="AA85" s="7">
        <f t="shared" si="26"/>
        <v>4</v>
      </c>
      <c r="AB85" s="7">
        <f t="shared" si="26"/>
        <v>-2</v>
      </c>
      <c r="AC85" s="7">
        <f t="shared" si="26"/>
        <v>7</v>
      </c>
      <c r="AD85" s="7">
        <f t="shared" si="26"/>
        <v>11</v>
      </c>
      <c r="AE85" s="7">
        <f t="shared" si="26"/>
        <v>-24</v>
      </c>
      <c r="AF85" s="7">
        <f t="shared" si="26"/>
        <v>5</v>
      </c>
      <c r="AG85" s="7">
        <f t="shared" si="26"/>
        <v>2</v>
      </c>
      <c r="AH85" s="7">
        <f t="shared" si="26"/>
        <v>-35</v>
      </c>
      <c r="AI85" s="7">
        <f t="shared" ref="AI85:BN85" si="27">AJ12-AI11+AJ35-AJ60</f>
        <v>-49</v>
      </c>
      <c r="AJ85" s="7">
        <f t="shared" si="27"/>
        <v>4</v>
      </c>
      <c r="AK85" s="7">
        <f t="shared" si="27"/>
        <v>-21</v>
      </c>
      <c r="AL85" s="7">
        <f t="shared" si="27"/>
        <v>11</v>
      </c>
      <c r="AM85" s="7">
        <f t="shared" si="27"/>
        <v>-16</v>
      </c>
      <c r="AN85" s="7">
        <f t="shared" si="27"/>
        <v>-22</v>
      </c>
      <c r="AO85" s="7">
        <f t="shared" si="27"/>
        <v>-4</v>
      </c>
      <c r="AP85" s="7">
        <f t="shared" si="27"/>
        <v>-18</v>
      </c>
      <c r="AQ85" s="7">
        <f t="shared" si="27"/>
        <v>-6</v>
      </c>
      <c r="AR85" s="7">
        <f t="shared" si="27"/>
        <v>7</v>
      </c>
      <c r="AS85" s="7">
        <f t="shared" si="27"/>
        <v>-16</v>
      </c>
      <c r="AT85" s="7">
        <f t="shared" si="27"/>
        <v>4</v>
      </c>
      <c r="AU85" s="7">
        <f t="shared" si="27"/>
        <v>-13</v>
      </c>
      <c r="AV85" s="7">
        <f t="shared" si="27"/>
        <v>-3</v>
      </c>
      <c r="AW85" s="7">
        <f t="shared" si="27"/>
        <v>-3</v>
      </c>
      <c r="AX85" s="7">
        <f t="shared" si="27"/>
        <v>0</v>
      </c>
      <c r="AY85" s="7">
        <f t="shared" si="27"/>
        <v>-4</v>
      </c>
      <c r="AZ85" s="7">
        <f t="shared" si="27"/>
        <v>-20</v>
      </c>
      <c r="BA85" s="7">
        <f t="shared" si="27"/>
        <v>-2</v>
      </c>
      <c r="BB85" s="7">
        <f t="shared" si="27"/>
        <v>-1</v>
      </c>
      <c r="BC85" s="7">
        <f t="shared" si="27"/>
        <v>4</v>
      </c>
      <c r="BD85" s="7">
        <f t="shared" si="27"/>
        <v>6</v>
      </c>
      <c r="BE85" s="7">
        <f t="shared" si="27"/>
        <v>-6</v>
      </c>
      <c r="BF85" s="7">
        <f t="shared" si="27"/>
        <v>-8</v>
      </c>
      <c r="BG85" s="7">
        <f t="shared" si="27"/>
        <v>3</v>
      </c>
      <c r="BH85" s="7">
        <f t="shared" si="27"/>
        <v>-19</v>
      </c>
      <c r="BI85" s="7">
        <f t="shared" si="27"/>
        <v>7</v>
      </c>
      <c r="BJ85" s="7">
        <f t="shared" si="27"/>
        <v>9</v>
      </c>
      <c r="BK85" s="7">
        <f t="shared" si="27"/>
        <v>-9</v>
      </c>
      <c r="BL85" s="7">
        <f t="shared" si="27"/>
        <v>-2</v>
      </c>
      <c r="BM85" s="7">
        <f t="shared" si="27"/>
        <v>-5</v>
      </c>
      <c r="BN85" s="7">
        <f t="shared" si="27"/>
        <v>10</v>
      </c>
      <c r="BO85" s="7">
        <f t="shared" ref="BO85:CY85" si="28">BP12-BO11+BP35-BP60</f>
        <v>-7</v>
      </c>
      <c r="BP85" s="7">
        <f t="shared" si="28"/>
        <v>6</v>
      </c>
      <c r="BQ85" s="7">
        <f t="shared" si="28"/>
        <v>-1</v>
      </c>
      <c r="BR85" s="7">
        <f t="shared" si="28"/>
        <v>-5</v>
      </c>
      <c r="BS85" s="7">
        <f t="shared" si="28"/>
        <v>0</v>
      </c>
      <c r="BT85" s="7">
        <f t="shared" si="28"/>
        <v>2</v>
      </c>
      <c r="BU85" s="7">
        <f t="shared" si="28"/>
        <v>1</v>
      </c>
      <c r="BV85" s="7">
        <f t="shared" si="28"/>
        <v>-1</v>
      </c>
      <c r="BW85" s="7">
        <f t="shared" si="28"/>
        <v>-3</v>
      </c>
      <c r="BX85" s="7">
        <f t="shared" si="28"/>
        <v>1</v>
      </c>
      <c r="BY85" s="7">
        <f t="shared" si="28"/>
        <v>-2</v>
      </c>
      <c r="BZ85" s="7">
        <f t="shared" si="28"/>
        <v>-1</v>
      </c>
      <c r="CA85" s="7">
        <f t="shared" si="28"/>
        <v>2</v>
      </c>
      <c r="CB85" s="7">
        <f t="shared" si="28"/>
        <v>8</v>
      </c>
      <c r="CC85" s="7">
        <f t="shared" si="28"/>
        <v>-5</v>
      </c>
      <c r="CD85" s="7">
        <f t="shared" si="28"/>
        <v>0</v>
      </c>
      <c r="CE85" s="7">
        <f t="shared" si="28"/>
        <v>4</v>
      </c>
      <c r="CF85" s="7">
        <f t="shared" si="28"/>
        <v>-2</v>
      </c>
      <c r="CG85" s="7">
        <f t="shared" si="28"/>
        <v>0</v>
      </c>
      <c r="CH85" s="7">
        <f t="shared" si="28"/>
        <v>7</v>
      </c>
      <c r="CI85" s="7">
        <f t="shared" si="28"/>
        <v>-6</v>
      </c>
      <c r="CJ85" s="7">
        <f t="shared" si="28"/>
        <v>9</v>
      </c>
      <c r="CK85" s="7">
        <f t="shared" si="28"/>
        <v>-6</v>
      </c>
      <c r="CL85" s="7">
        <f t="shared" si="28"/>
        <v>0</v>
      </c>
      <c r="CM85" s="7">
        <f t="shared" si="28"/>
        <v>5</v>
      </c>
      <c r="CN85" s="7">
        <f t="shared" si="28"/>
        <v>2</v>
      </c>
      <c r="CO85" s="7">
        <f t="shared" si="28"/>
        <v>-6</v>
      </c>
      <c r="CP85" s="7">
        <f t="shared" si="28"/>
        <v>-3</v>
      </c>
      <c r="CQ85" s="7">
        <f t="shared" si="28"/>
        <v>3</v>
      </c>
      <c r="CR85" s="7">
        <f t="shared" si="28"/>
        <v>-4</v>
      </c>
      <c r="CS85" s="7">
        <f t="shared" si="28"/>
        <v>2</v>
      </c>
      <c r="CT85" s="7">
        <f t="shared" si="28"/>
        <v>-2</v>
      </c>
      <c r="CU85" s="7">
        <f t="shared" si="28"/>
        <v>1</v>
      </c>
      <c r="CV85" s="7">
        <f t="shared" si="28"/>
        <v>0</v>
      </c>
      <c r="CW85" s="7">
        <f t="shared" si="28"/>
        <v>-1</v>
      </c>
      <c r="CX85" s="7">
        <f t="shared" si="28"/>
        <v>1</v>
      </c>
      <c r="CY85" s="7">
        <f t="shared" si="28"/>
        <v>-1</v>
      </c>
      <c r="CZ85" s="7"/>
    </row>
    <row r="86" spans="1:104" x14ac:dyDescent="0.3">
      <c r="A86" s="10">
        <v>2010</v>
      </c>
      <c r="C86" s="7">
        <f t="shared" ref="C86:AH86" si="29">D13-C12+D36-D61</f>
        <v>-108</v>
      </c>
      <c r="D86" s="7">
        <f t="shared" si="29"/>
        <v>-16</v>
      </c>
      <c r="E86" s="7">
        <f t="shared" si="29"/>
        <v>12</v>
      </c>
      <c r="F86" s="7">
        <f t="shared" si="29"/>
        <v>-15</v>
      </c>
      <c r="G86" s="7">
        <f t="shared" si="29"/>
        <v>-10</v>
      </c>
      <c r="H86" s="7">
        <f t="shared" si="29"/>
        <v>8</v>
      </c>
      <c r="I86" s="7">
        <f t="shared" si="29"/>
        <v>-10</v>
      </c>
      <c r="J86" s="7">
        <f t="shared" si="29"/>
        <v>-6</v>
      </c>
      <c r="K86" s="7">
        <f t="shared" si="29"/>
        <v>3</v>
      </c>
      <c r="L86" s="7">
        <f t="shared" si="29"/>
        <v>1</v>
      </c>
      <c r="M86" s="7">
        <f t="shared" si="29"/>
        <v>-13</v>
      </c>
      <c r="N86" s="7">
        <f t="shared" si="29"/>
        <v>1</v>
      </c>
      <c r="O86" s="7">
        <f t="shared" si="29"/>
        <v>-5</v>
      </c>
      <c r="P86" s="7">
        <f t="shared" si="29"/>
        <v>7</v>
      </c>
      <c r="Q86" s="7">
        <f t="shared" si="29"/>
        <v>3</v>
      </c>
      <c r="R86" s="7">
        <f t="shared" si="29"/>
        <v>-8</v>
      </c>
      <c r="S86" s="7">
        <f t="shared" si="29"/>
        <v>21</v>
      </c>
      <c r="T86" s="7">
        <f t="shared" si="29"/>
        <v>36</v>
      </c>
      <c r="U86" s="7">
        <f t="shared" si="29"/>
        <v>25</v>
      </c>
      <c r="V86" s="7">
        <f t="shared" si="29"/>
        <v>31</v>
      </c>
      <c r="W86" s="7">
        <f t="shared" si="29"/>
        <v>97</v>
      </c>
      <c r="X86" s="7">
        <f t="shared" si="29"/>
        <v>29</v>
      </c>
      <c r="Y86" s="7">
        <f t="shared" si="29"/>
        <v>29</v>
      </c>
      <c r="Z86" s="7">
        <f t="shared" si="29"/>
        <v>7</v>
      </c>
      <c r="AA86" s="7">
        <f t="shared" si="29"/>
        <v>73</v>
      </c>
      <c r="AB86" s="7">
        <f t="shared" si="29"/>
        <v>-28</v>
      </c>
      <c r="AC86" s="7">
        <f t="shared" si="29"/>
        <v>14</v>
      </c>
      <c r="AD86" s="7">
        <f t="shared" si="29"/>
        <v>-24</v>
      </c>
      <c r="AE86" s="7">
        <f t="shared" si="29"/>
        <v>-4</v>
      </c>
      <c r="AF86" s="7">
        <f t="shared" si="29"/>
        <v>-4</v>
      </c>
      <c r="AG86" s="7">
        <f t="shared" si="29"/>
        <v>-5</v>
      </c>
      <c r="AH86" s="7">
        <f t="shared" si="29"/>
        <v>-63</v>
      </c>
      <c r="AI86" s="7">
        <f t="shared" ref="AI86:BN86" si="30">AJ13-AI12+AJ36-AJ61</f>
        <v>-38</v>
      </c>
      <c r="AJ86" s="7">
        <f t="shared" si="30"/>
        <v>14</v>
      </c>
      <c r="AK86" s="7">
        <f t="shared" si="30"/>
        <v>-22</v>
      </c>
      <c r="AL86" s="7">
        <f t="shared" si="30"/>
        <v>-27</v>
      </c>
      <c r="AM86" s="7">
        <f t="shared" si="30"/>
        <v>26</v>
      </c>
      <c r="AN86" s="7">
        <f t="shared" si="30"/>
        <v>-24</v>
      </c>
      <c r="AO86" s="7">
        <f t="shared" si="30"/>
        <v>-3</v>
      </c>
      <c r="AP86" s="7">
        <f t="shared" si="30"/>
        <v>-17</v>
      </c>
      <c r="AQ86" s="7">
        <f t="shared" si="30"/>
        <v>-15</v>
      </c>
      <c r="AR86" s="7">
        <f t="shared" si="30"/>
        <v>1</v>
      </c>
      <c r="AS86" s="7">
        <f t="shared" si="30"/>
        <v>-13</v>
      </c>
      <c r="AT86" s="7">
        <f t="shared" si="30"/>
        <v>-10</v>
      </c>
      <c r="AU86" s="7">
        <f t="shared" si="30"/>
        <v>1</v>
      </c>
      <c r="AV86" s="7">
        <f t="shared" si="30"/>
        <v>0</v>
      </c>
      <c r="AW86" s="7">
        <f t="shared" si="30"/>
        <v>-19</v>
      </c>
      <c r="AX86" s="7">
        <f t="shared" si="30"/>
        <v>19</v>
      </c>
      <c r="AY86" s="7">
        <f t="shared" si="30"/>
        <v>-17</v>
      </c>
      <c r="AZ86" s="7">
        <f t="shared" si="30"/>
        <v>-14</v>
      </c>
      <c r="BA86" s="7">
        <f t="shared" si="30"/>
        <v>-5</v>
      </c>
      <c r="BB86" s="7">
        <f t="shared" si="30"/>
        <v>-7</v>
      </c>
      <c r="BC86" s="7">
        <f t="shared" si="30"/>
        <v>6</v>
      </c>
      <c r="BD86" s="7">
        <f t="shared" si="30"/>
        <v>-6</v>
      </c>
      <c r="BE86" s="7">
        <f t="shared" si="30"/>
        <v>-20</v>
      </c>
      <c r="BF86" s="7">
        <f t="shared" si="30"/>
        <v>7</v>
      </c>
      <c r="BG86" s="7">
        <f t="shared" si="30"/>
        <v>-6</v>
      </c>
      <c r="BH86" s="7">
        <f t="shared" si="30"/>
        <v>5</v>
      </c>
      <c r="BI86" s="7">
        <f t="shared" si="30"/>
        <v>-8</v>
      </c>
      <c r="BJ86" s="7">
        <f t="shared" si="30"/>
        <v>8</v>
      </c>
      <c r="BK86" s="7">
        <f t="shared" si="30"/>
        <v>-4</v>
      </c>
      <c r="BL86" s="7">
        <f t="shared" si="30"/>
        <v>-3</v>
      </c>
      <c r="BM86" s="7">
        <f t="shared" si="30"/>
        <v>1</v>
      </c>
      <c r="BN86" s="7">
        <f t="shared" si="30"/>
        <v>-3</v>
      </c>
      <c r="BO86" s="7">
        <f t="shared" ref="BO86:CY86" si="31">BP13-BO12+BP36-BP61</f>
        <v>-4</v>
      </c>
      <c r="BP86" s="7">
        <f t="shared" si="31"/>
        <v>8</v>
      </c>
      <c r="BQ86" s="7">
        <f t="shared" si="31"/>
        <v>-1</v>
      </c>
      <c r="BR86" s="7">
        <f t="shared" si="31"/>
        <v>-6</v>
      </c>
      <c r="BS86" s="7">
        <f t="shared" si="31"/>
        <v>-8</v>
      </c>
      <c r="BT86" s="7">
        <f t="shared" si="31"/>
        <v>7</v>
      </c>
      <c r="BU86" s="7">
        <f t="shared" si="31"/>
        <v>-5</v>
      </c>
      <c r="BV86" s="7">
        <f t="shared" si="31"/>
        <v>0</v>
      </c>
      <c r="BW86" s="7">
        <f t="shared" si="31"/>
        <v>0</v>
      </c>
      <c r="BX86" s="7">
        <f t="shared" si="31"/>
        <v>-5</v>
      </c>
      <c r="BY86" s="7">
        <f t="shared" si="31"/>
        <v>12</v>
      </c>
      <c r="BZ86" s="7">
        <f t="shared" si="31"/>
        <v>-8</v>
      </c>
      <c r="CA86" s="7">
        <f t="shared" si="31"/>
        <v>-1</v>
      </c>
      <c r="CB86" s="7">
        <f t="shared" si="31"/>
        <v>2</v>
      </c>
      <c r="CC86" s="7">
        <f t="shared" si="31"/>
        <v>-3</v>
      </c>
      <c r="CD86" s="7">
        <f t="shared" si="31"/>
        <v>0</v>
      </c>
      <c r="CE86" s="7">
        <f t="shared" si="31"/>
        <v>6</v>
      </c>
      <c r="CF86" s="7">
        <f t="shared" si="31"/>
        <v>4</v>
      </c>
      <c r="CG86" s="7">
        <f t="shared" si="31"/>
        <v>-1</v>
      </c>
      <c r="CH86" s="7">
        <f t="shared" si="31"/>
        <v>-3</v>
      </c>
      <c r="CI86" s="7">
        <f t="shared" si="31"/>
        <v>3</v>
      </c>
      <c r="CJ86" s="7">
        <f t="shared" si="31"/>
        <v>1</v>
      </c>
      <c r="CK86" s="7">
        <f t="shared" si="31"/>
        <v>2</v>
      </c>
      <c r="CL86" s="7">
        <f t="shared" si="31"/>
        <v>-3</v>
      </c>
      <c r="CM86" s="7">
        <f t="shared" si="31"/>
        <v>2</v>
      </c>
      <c r="CN86" s="7">
        <f t="shared" si="31"/>
        <v>1</v>
      </c>
      <c r="CO86" s="7">
        <f t="shared" si="31"/>
        <v>2</v>
      </c>
      <c r="CP86" s="7">
        <f t="shared" si="31"/>
        <v>-1</v>
      </c>
      <c r="CQ86" s="7">
        <f t="shared" si="31"/>
        <v>3</v>
      </c>
      <c r="CR86" s="7">
        <f t="shared" si="31"/>
        <v>-2</v>
      </c>
      <c r="CS86" s="7">
        <f t="shared" si="31"/>
        <v>-2</v>
      </c>
      <c r="CT86" s="7">
        <f t="shared" si="31"/>
        <v>-1</v>
      </c>
      <c r="CU86" s="7">
        <f t="shared" si="31"/>
        <v>0</v>
      </c>
      <c r="CV86" s="7">
        <f t="shared" si="31"/>
        <v>-1</v>
      </c>
      <c r="CW86" s="7">
        <f t="shared" si="31"/>
        <v>0</v>
      </c>
      <c r="CX86" s="7">
        <f t="shared" si="31"/>
        <v>0</v>
      </c>
      <c r="CY86" s="7">
        <f t="shared" si="31"/>
        <v>0</v>
      </c>
      <c r="CZ86" s="7"/>
    </row>
    <row r="87" spans="1:104" x14ac:dyDescent="0.3">
      <c r="A87" s="10">
        <v>2011</v>
      </c>
      <c r="C87" s="7">
        <f t="shared" ref="C87:AH87" si="32">D14-C13+D37-D62</f>
        <v>-158</v>
      </c>
      <c r="D87" s="7">
        <f t="shared" si="32"/>
        <v>-21</v>
      </c>
      <c r="E87" s="7">
        <f t="shared" si="32"/>
        <v>-10</v>
      </c>
      <c r="F87" s="7">
        <f t="shared" si="32"/>
        <v>-2</v>
      </c>
      <c r="G87" s="7">
        <f t="shared" si="32"/>
        <v>-5</v>
      </c>
      <c r="H87" s="7">
        <f t="shared" si="32"/>
        <v>-6</v>
      </c>
      <c r="I87" s="7">
        <f t="shared" si="32"/>
        <v>-1</v>
      </c>
      <c r="J87" s="7">
        <f t="shared" si="32"/>
        <v>-15</v>
      </c>
      <c r="K87" s="7">
        <f t="shared" si="32"/>
        <v>8</v>
      </c>
      <c r="L87" s="7">
        <f t="shared" si="32"/>
        <v>-4</v>
      </c>
      <c r="M87" s="7">
        <f t="shared" si="32"/>
        <v>4</v>
      </c>
      <c r="N87" s="7">
        <f t="shared" si="32"/>
        <v>0</v>
      </c>
      <c r="O87" s="7">
        <f t="shared" si="32"/>
        <v>-9</v>
      </c>
      <c r="P87" s="7">
        <f t="shared" si="32"/>
        <v>11</v>
      </c>
      <c r="Q87" s="7">
        <f t="shared" si="32"/>
        <v>-14</v>
      </c>
      <c r="R87" s="7">
        <f t="shared" si="32"/>
        <v>0</v>
      </c>
      <c r="S87" s="7">
        <f t="shared" si="32"/>
        <v>19</v>
      </c>
      <c r="T87" s="7">
        <f t="shared" si="32"/>
        <v>46</v>
      </c>
      <c r="U87" s="7">
        <f t="shared" si="32"/>
        <v>62</v>
      </c>
      <c r="V87" s="7">
        <f t="shared" si="32"/>
        <v>11</v>
      </c>
      <c r="W87" s="7">
        <f t="shared" si="32"/>
        <v>32</v>
      </c>
      <c r="X87" s="7">
        <f t="shared" si="32"/>
        <v>37</v>
      </c>
      <c r="Y87" s="7">
        <f t="shared" si="32"/>
        <v>19</v>
      </c>
      <c r="Z87" s="7">
        <f t="shared" si="32"/>
        <v>4</v>
      </c>
      <c r="AA87" s="7">
        <f t="shared" si="32"/>
        <v>25</v>
      </c>
      <c r="AB87" s="7">
        <f t="shared" si="32"/>
        <v>6</v>
      </c>
      <c r="AC87" s="7">
        <f t="shared" si="32"/>
        <v>28</v>
      </c>
      <c r="AD87" s="7">
        <f t="shared" si="32"/>
        <v>48</v>
      </c>
      <c r="AE87" s="7">
        <f t="shared" si="32"/>
        <v>-41</v>
      </c>
      <c r="AF87" s="7">
        <f t="shared" si="32"/>
        <v>-43</v>
      </c>
      <c r="AG87" s="7">
        <f t="shared" si="32"/>
        <v>-27</v>
      </c>
      <c r="AH87" s="7">
        <f t="shared" si="32"/>
        <v>-45</v>
      </c>
      <c r="AI87" s="7">
        <f t="shared" ref="AI87:BN87" si="33">AJ14-AI13+AJ37-AJ62</f>
        <v>-22</v>
      </c>
      <c r="AJ87" s="7">
        <f t="shared" si="33"/>
        <v>25</v>
      </c>
      <c r="AK87" s="7">
        <f t="shared" si="33"/>
        <v>-17</v>
      </c>
      <c r="AL87" s="7">
        <f t="shared" si="33"/>
        <v>-22</v>
      </c>
      <c r="AM87" s="7">
        <f t="shared" si="33"/>
        <v>-21</v>
      </c>
      <c r="AN87" s="7">
        <f t="shared" si="33"/>
        <v>-1</v>
      </c>
      <c r="AO87" s="7">
        <f t="shared" si="33"/>
        <v>-11</v>
      </c>
      <c r="AP87" s="7">
        <f t="shared" si="33"/>
        <v>-17</v>
      </c>
      <c r="AQ87" s="7">
        <f t="shared" si="33"/>
        <v>-4</v>
      </c>
      <c r="AR87" s="7">
        <f t="shared" si="33"/>
        <v>5</v>
      </c>
      <c r="AS87" s="7">
        <f t="shared" si="33"/>
        <v>-23</v>
      </c>
      <c r="AT87" s="7">
        <f t="shared" si="33"/>
        <v>17</v>
      </c>
      <c r="AU87" s="7">
        <f t="shared" si="33"/>
        <v>-23</v>
      </c>
      <c r="AV87" s="7">
        <f t="shared" si="33"/>
        <v>-1</v>
      </c>
      <c r="AW87" s="7">
        <f t="shared" si="33"/>
        <v>-5</v>
      </c>
      <c r="AX87" s="7">
        <f t="shared" si="33"/>
        <v>0</v>
      </c>
      <c r="AY87" s="7">
        <f t="shared" si="33"/>
        <v>-5</v>
      </c>
      <c r="AZ87" s="7">
        <f t="shared" si="33"/>
        <v>0</v>
      </c>
      <c r="BA87" s="7">
        <f t="shared" si="33"/>
        <v>-11</v>
      </c>
      <c r="BB87" s="7">
        <f t="shared" si="33"/>
        <v>5</v>
      </c>
      <c r="BC87" s="7">
        <f t="shared" si="33"/>
        <v>-11</v>
      </c>
      <c r="BD87" s="7">
        <f t="shared" si="33"/>
        <v>-10</v>
      </c>
      <c r="BE87" s="7">
        <f t="shared" si="33"/>
        <v>10</v>
      </c>
      <c r="BF87" s="7">
        <f t="shared" si="33"/>
        <v>-9</v>
      </c>
      <c r="BG87" s="7">
        <f t="shared" si="33"/>
        <v>-1</v>
      </c>
      <c r="BH87" s="7">
        <f t="shared" si="33"/>
        <v>0</v>
      </c>
      <c r="BI87" s="7">
        <f t="shared" si="33"/>
        <v>-10</v>
      </c>
      <c r="BJ87" s="7">
        <f t="shared" si="33"/>
        <v>6</v>
      </c>
      <c r="BK87" s="7">
        <f t="shared" si="33"/>
        <v>-2</v>
      </c>
      <c r="BL87" s="7">
        <f t="shared" si="33"/>
        <v>-3</v>
      </c>
      <c r="BM87" s="7">
        <f t="shared" si="33"/>
        <v>-2</v>
      </c>
      <c r="BN87" s="7">
        <f t="shared" si="33"/>
        <v>0</v>
      </c>
      <c r="BO87" s="7">
        <f t="shared" ref="BO87:CY87" si="34">BP14-BO13+BP37-BP62</f>
        <v>-6</v>
      </c>
      <c r="BP87" s="7">
        <f t="shared" si="34"/>
        <v>-1</v>
      </c>
      <c r="BQ87" s="7">
        <f t="shared" si="34"/>
        <v>-4</v>
      </c>
      <c r="BR87" s="7">
        <f t="shared" si="34"/>
        <v>8</v>
      </c>
      <c r="BS87" s="7">
        <f t="shared" si="34"/>
        <v>-3</v>
      </c>
      <c r="BT87" s="7">
        <f t="shared" si="34"/>
        <v>3</v>
      </c>
      <c r="BU87" s="7">
        <f t="shared" si="34"/>
        <v>-4</v>
      </c>
      <c r="BV87" s="7">
        <f t="shared" si="34"/>
        <v>6</v>
      </c>
      <c r="BW87" s="7">
        <f t="shared" si="34"/>
        <v>4</v>
      </c>
      <c r="BX87" s="7">
        <f t="shared" si="34"/>
        <v>-7</v>
      </c>
      <c r="BY87" s="7">
        <f t="shared" si="34"/>
        <v>1</v>
      </c>
      <c r="BZ87" s="7">
        <f t="shared" si="34"/>
        <v>-5</v>
      </c>
      <c r="CA87" s="7">
        <f t="shared" si="34"/>
        <v>2</v>
      </c>
      <c r="CB87" s="7">
        <f t="shared" si="34"/>
        <v>-1</v>
      </c>
      <c r="CC87" s="7">
        <f t="shared" si="34"/>
        <v>-2</v>
      </c>
      <c r="CD87" s="7">
        <f t="shared" si="34"/>
        <v>3</v>
      </c>
      <c r="CE87" s="7">
        <f t="shared" si="34"/>
        <v>0</v>
      </c>
      <c r="CF87" s="7">
        <f t="shared" si="34"/>
        <v>1</v>
      </c>
      <c r="CG87" s="7">
        <f t="shared" si="34"/>
        <v>2</v>
      </c>
      <c r="CH87" s="7">
        <f t="shared" si="34"/>
        <v>3</v>
      </c>
      <c r="CI87" s="7">
        <f t="shared" si="34"/>
        <v>0</v>
      </c>
      <c r="CJ87" s="7">
        <f t="shared" si="34"/>
        <v>6</v>
      </c>
      <c r="CK87" s="7">
        <f t="shared" si="34"/>
        <v>-9</v>
      </c>
      <c r="CL87" s="7">
        <f t="shared" si="34"/>
        <v>4</v>
      </c>
      <c r="CM87" s="7">
        <f t="shared" si="34"/>
        <v>-1</v>
      </c>
      <c r="CN87" s="7">
        <f t="shared" si="34"/>
        <v>-5</v>
      </c>
      <c r="CO87" s="7">
        <f t="shared" si="34"/>
        <v>4</v>
      </c>
      <c r="CP87" s="7">
        <f t="shared" si="34"/>
        <v>2</v>
      </c>
      <c r="CQ87" s="7">
        <f t="shared" si="34"/>
        <v>-3</v>
      </c>
      <c r="CR87" s="7">
        <f t="shared" si="34"/>
        <v>3</v>
      </c>
      <c r="CS87" s="7">
        <f t="shared" si="34"/>
        <v>-2</v>
      </c>
      <c r="CT87" s="7">
        <f t="shared" si="34"/>
        <v>-1</v>
      </c>
      <c r="CU87" s="7">
        <f t="shared" si="34"/>
        <v>2</v>
      </c>
      <c r="CV87" s="7">
        <f t="shared" si="34"/>
        <v>-2</v>
      </c>
      <c r="CW87" s="7">
        <f t="shared" si="34"/>
        <v>-1</v>
      </c>
      <c r="CX87" s="7">
        <f t="shared" si="34"/>
        <v>1</v>
      </c>
      <c r="CY87" s="7">
        <f t="shared" si="34"/>
        <v>0</v>
      </c>
      <c r="CZ87" s="7"/>
    </row>
    <row r="88" spans="1:104" x14ac:dyDescent="0.3">
      <c r="A88" s="10">
        <v>2012</v>
      </c>
      <c r="C88" s="7">
        <f t="shared" ref="C88:AH88" si="35">D15-C14+D38-D63</f>
        <v>-173</v>
      </c>
      <c r="D88" s="7">
        <f t="shared" si="35"/>
        <v>1</v>
      </c>
      <c r="E88" s="7">
        <f t="shared" si="35"/>
        <v>0</v>
      </c>
      <c r="F88" s="7">
        <f t="shared" si="35"/>
        <v>2</v>
      </c>
      <c r="G88" s="7">
        <f t="shared" si="35"/>
        <v>-4</v>
      </c>
      <c r="H88" s="7">
        <f t="shared" si="35"/>
        <v>-5</v>
      </c>
      <c r="I88" s="7">
        <f t="shared" si="35"/>
        <v>-6</v>
      </c>
      <c r="J88" s="7">
        <f t="shared" si="35"/>
        <v>5</v>
      </c>
      <c r="K88" s="7">
        <f t="shared" si="35"/>
        <v>0</v>
      </c>
      <c r="L88" s="7">
        <f t="shared" si="35"/>
        <v>9</v>
      </c>
      <c r="M88" s="7">
        <f t="shared" si="35"/>
        <v>-12</v>
      </c>
      <c r="N88" s="7">
        <f t="shared" si="35"/>
        <v>1</v>
      </c>
      <c r="O88" s="7">
        <f t="shared" si="35"/>
        <v>2</v>
      </c>
      <c r="P88" s="7">
        <f t="shared" si="35"/>
        <v>-6</v>
      </c>
      <c r="Q88" s="7">
        <f t="shared" si="35"/>
        <v>5</v>
      </c>
      <c r="R88" s="7">
        <f t="shared" si="35"/>
        <v>5</v>
      </c>
      <c r="S88" s="7">
        <f t="shared" si="35"/>
        <v>-5</v>
      </c>
      <c r="T88" s="7">
        <f t="shared" si="35"/>
        <v>22</v>
      </c>
      <c r="U88" s="7">
        <f t="shared" si="35"/>
        <v>2</v>
      </c>
      <c r="V88" s="7">
        <f t="shared" si="35"/>
        <v>10</v>
      </c>
      <c r="W88" s="7">
        <f t="shared" si="35"/>
        <v>15</v>
      </c>
      <c r="X88" s="7">
        <f t="shared" si="35"/>
        <v>19</v>
      </c>
      <c r="Y88" s="7">
        <f t="shared" si="35"/>
        <v>-6</v>
      </c>
      <c r="Z88" s="7">
        <f t="shared" si="35"/>
        <v>29</v>
      </c>
      <c r="AA88" s="7">
        <f t="shared" si="35"/>
        <v>12</v>
      </c>
      <c r="AB88" s="7">
        <f t="shared" si="35"/>
        <v>26</v>
      </c>
      <c r="AC88" s="7">
        <f t="shared" si="35"/>
        <v>9</v>
      </c>
      <c r="AD88" s="7">
        <f t="shared" si="35"/>
        <v>-6</v>
      </c>
      <c r="AE88" s="7">
        <f t="shared" si="35"/>
        <v>6</v>
      </c>
      <c r="AF88" s="7">
        <f t="shared" si="35"/>
        <v>1</v>
      </c>
      <c r="AG88" s="7">
        <f t="shared" si="35"/>
        <v>15</v>
      </c>
      <c r="AH88" s="7">
        <f t="shared" si="35"/>
        <v>-9</v>
      </c>
      <c r="AI88" s="7">
        <f t="shared" ref="AI88:BN88" si="36">AJ15-AI14+AJ38-AJ63</f>
        <v>-19</v>
      </c>
      <c r="AJ88" s="7">
        <f t="shared" si="36"/>
        <v>0</v>
      </c>
      <c r="AK88" s="7">
        <f t="shared" si="36"/>
        <v>-14</v>
      </c>
      <c r="AL88" s="7">
        <f t="shared" si="36"/>
        <v>0</v>
      </c>
      <c r="AM88" s="7">
        <f t="shared" si="36"/>
        <v>2</v>
      </c>
      <c r="AN88" s="7">
        <f t="shared" si="36"/>
        <v>-1</v>
      </c>
      <c r="AO88" s="7">
        <f t="shared" si="36"/>
        <v>-16</v>
      </c>
      <c r="AP88" s="7">
        <f t="shared" si="36"/>
        <v>0</v>
      </c>
      <c r="AQ88" s="7">
        <f t="shared" si="36"/>
        <v>-9</v>
      </c>
      <c r="AR88" s="7">
        <f t="shared" si="36"/>
        <v>4</v>
      </c>
      <c r="AS88" s="7">
        <f t="shared" si="36"/>
        <v>-7</v>
      </c>
      <c r="AT88" s="7">
        <f t="shared" si="36"/>
        <v>-15</v>
      </c>
      <c r="AU88" s="7">
        <f t="shared" si="36"/>
        <v>1</v>
      </c>
      <c r="AV88" s="7">
        <f t="shared" si="36"/>
        <v>1</v>
      </c>
      <c r="AW88" s="7">
        <f t="shared" si="36"/>
        <v>0</v>
      </c>
      <c r="AX88" s="7">
        <f t="shared" si="36"/>
        <v>4</v>
      </c>
      <c r="AY88" s="7">
        <f t="shared" si="36"/>
        <v>-14</v>
      </c>
      <c r="AZ88" s="7">
        <f t="shared" si="36"/>
        <v>3</v>
      </c>
      <c r="BA88" s="7">
        <f t="shared" si="36"/>
        <v>-3</v>
      </c>
      <c r="BB88" s="7">
        <f t="shared" si="36"/>
        <v>-12</v>
      </c>
      <c r="BC88" s="7">
        <f t="shared" si="36"/>
        <v>-2</v>
      </c>
      <c r="BD88" s="7">
        <f t="shared" si="36"/>
        <v>8</v>
      </c>
      <c r="BE88" s="7">
        <f t="shared" si="36"/>
        <v>-8</v>
      </c>
      <c r="BF88" s="7">
        <f t="shared" si="36"/>
        <v>2</v>
      </c>
      <c r="BG88" s="7">
        <f t="shared" si="36"/>
        <v>6</v>
      </c>
      <c r="BH88" s="7">
        <f t="shared" si="36"/>
        <v>-9</v>
      </c>
      <c r="BI88" s="7">
        <f t="shared" si="36"/>
        <v>2</v>
      </c>
      <c r="BJ88" s="7">
        <f t="shared" si="36"/>
        <v>-3</v>
      </c>
      <c r="BK88" s="7">
        <f t="shared" si="36"/>
        <v>1</v>
      </c>
      <c r="BL88" s="7">
        <f t="shared" si="36"/>
        <v>2</v>
      </c>
      <c r="BM88" s="7">
        <f t="shared" si="36"/>
        <v>4</v>
      </c>
      <c r="BN88" s="7">
        <f t="shared" si="36"/>
        <v>2</v>
      </c>
      <c r="BO88" s="7">
        <f t="shared" ref="BO88:CY88" si="37">BP15-BO14+BP38-BP63</f>
        <v>1</v>
      </c>
      <c r="BP88" s="7">
        <f t="shared" si="37"/>
        <v>7</v>
      </c>
      <c r="BQ88" s="7">
        <f t="shared" si="37"/>
        <v>-10</v>
      </c>
      <c r="BR88" s="7">
        <f t="shared" si="37"/>
        <v>0</v>
      </c>
      <c r="BS88" s="7">
        <f t="shared" si="37"/>
        <v>-2</v>
      </c>
      <c r="BT88" s="7">
        <f t="shared" si="37"/>
        <v>1</v>
      </c>
      <c r="BU88" s="7">
        <f t="shared" si="37"/>
        <v>0</v>
      </c>
      <c r="BV88" s="7">
        <f t="shared" si="37"/>
        <v>0</v>
      </c>
      <c r="BW88" s="7">
        <f t="shared" si="37"/>
        <v>9</v>
      </c>
      <c r="BX88" s="7">
        <f t="shared" si="37"/>
        <v>-2</v>
      </c>
      <c r="BY88" s="7">
        <f t="shared" si="37"/>
        <v>0</v>
      </c>
      <c r="BZ88" s="7">
        <f t="shared" si="37"/>
        <v>-4</v>
      </c>
      <c r="CA88" s="7">
        <f t="shared" si="37"/>
        <v>-1</v>
      </c>
      <c r="CB88" s="7">
        <f t="shared" si="37"/>
        <v>5</v>
      </c>
      <c r="CC88" s="7">
        <f t="shared" si="37"/>
        <v>-1</v>
      </c>
      <c r="CD88" s="7">
        <f t="shared" si="37"/>
        <v>-1</v>
      </c>
      <c r="CE88" s="7">
        <f t="shared" si="37"/>
        <v>3</v>
      </c>
      <c r="CF88" s="7">
        <f t="shared" si="37"/>
        <v>-1</v>
      </c>
      <c r="CG88" s="7">
        <f t="shared" si="37"/>
        <v>4</v>
      </c>
      <c r="CH88" s="7">
        <f t="shared" si="37"/>
        <v>-1</v>
      </c>
      <c r="CI88" s="7">
        <f t="shared" si="37"/>
        <v>-2</v>
      </c>
      <c r="CJ88" s="7">
        <f t="shared" si="37"/>
        <v>1</v>
      </c>
      <c r="CK88" s="7">
        <f t="shared" si="37"/>
        <v>0</v>
      </c>
      <c r="CL88" s="7">
        <f t="shared" si="37"/>
        <v>-1</v>
      </c>
      <c r="CM88" s="7">
        <f t="shared" si="37"/>
        <v>-1</v>
      </c>
      <c r="CN88" s="7">
        <f t="shared" si="37"/>
        <v>3</v>
      </c>
      <c r="CO88" s="7">
        <f t="shared" si="37"/>
        <v>3</v>
      </c>
      <c r="CP88" s="7">
        <f t="shared" si="37"/>
        <v>-4</v>
      </c>
      <c r="CQ88" s="7">
        <f t="shared" si="37"/>
        <v>1</v>
      </c>
      <c r="CR88" s="7">
        <f t="shared" si="37"/>
        <v>2</v>
      </c>
      <c r="CS88" s="7">
        <f t="shared" si="37"/>
        <v>-2</v>
      </c>
      <c r="CT88" s="7">
        <f t="shared" si="37"/>
        <v>2</v>
      </c>
      <c r="CU88" s="7">
        <f t="shared" si="37"/>
        <v>-2</v>
      </c>
      <c r="CV88" s="7">
        <f t="shared" si="37"/>
        <v>0</v>
      </c>
      <c r="CW88" s="7">
        <f t="shared" si="37"/>
        <v>-1</v>
      </c>
      <c r="CX88" s="7">
        <f t="shared" si="37"/>
        <v>-1</v>
      </c>
      <c r="CY88" s="7">
        <f t="shared" si="37"/>
        <v>0</v>
      </c>
      <c r="CZ88" s="7"/>
    </row>
    <row r="89" spans="1:104" x14ac:dyDescent="0.3">
      <c r="A89" s="10">
        <v>2013</v>
      </c>
      <c r="C89" s="7">
        <f t="shared" ref="C89:AH89" si="38">D16-C15+D39-D64</f>
        <v>-97</v>
      </c>
      <c r="D89" s="7">
        <f t="shared" si="38"/>
        <v>-1</v>
      </c>
      <c r="E89" s="7">
        <f t="shared" si="38"/>
        <v>3</v>
      </c>
      <c r="F89" s="7">
        <f t="shared" si="38"/>
        <v>-4</v>
      </c>
      <c r="G89" s="7">
        <f t="shared" si="38"/>
        <v>8</v>
      </c>
      <c r="H89" s="7">
        <f t="shared" si="38"/>
        <v>-7</v>
      </c>
      <c r="I89" s="7">
        <f t="shared" si="38"/>
        <v>0</v>
      </c>
      <c r="J89" s="7">
        <f t="shared" si="38"/>
        <v>-6</v>
      </c>
      <c r="K89" s="7">
        <f t="shared" si="38"/>
        <v>1</v>
      </c>
      <c r="L89" s="7">
        <f t="shared" si="38"/>
        <v>-8</v>
      </c>
      <c r="M89" s="7">
        <f t="shared" si="38"/>
        <v>6</v>
      </c>
      <c r="N89" s="7">
        <f t="shared" si="38"/>
        <v>-2</v>
      </c>
      <c r="O89" s="7">
        <f t="shared" si="38"/>
        <v>9</v>
      </c>
      <c r="P89" s="7">
        <f t="shared" si="38"/>
        <v>0</v>
      </c>
      <c r="Q89" s="7">
        <f t="shared" si="38"/>
        <v>3</v>
      </c>
      <c r="R89" s="7">
        <f t="shared" si="38"/>
        <v>-1</v>
      </c>
      <c r="S89" s="7">
        <f t="shared" si="38"/>
        <v>24</v>
      </c>
      <c r="T89" s="7">
        <f t="shared" si="38"/>
        <v>15</v>
      </c>
      <c r="U89" s="7">
        <f t="shared" si="38"/>
        <v>2</v>
      </c>
      <c r="V89" s="7">
        <f t="shared" si="38"/>
        <v>0</v>
      </c>
      <c r="W89" s="7">
        <f t="shared" si="38"/>
        <v>37</v>
      </c>
      <c r="X89" s="7">
        <f t="shared" si="38"/>
        <v>7</v>
      </c>
      <c r="Y89" s="7">
        <f t="shared" si="38"/>
        <v>13</v>
      </c>
      <c r="Z89" s="7">
        <f t="shared" si="38"/>
        <v>26</v>
      </c>
      <c r="AA89" s="7">
        <f t="shared" si="38"/>
        <v>-6</v>
      </c>
      <c r="AB89" s="7">
        <f t="shared" si="38"/>
        <v>22</v>
      </c>
      <c r="AC89" s="7">
        <f t="shared" si="38"/>
        <v>1</v>
      </c>
      <c r="AD89" s="7">
        <f t="shared" si="38"/>
        <v>15</v>
      </c>
      <c r="AE89" s="7">
        <f t="shared" si="38"/>
        <v>19</v>
      </c>
      <c r="AF89" s="7">
        <f t="shared" si="38"/>
        <v>6</v>
      </c>
      <c r="AG89" s="7">
        <f t="shared" si="38"/>
        <v>-31</v>
      </c>
      <c r="AH89" s="7">
        <f t="shared" si="38"/>
        <v>-10</v>
      </c>
      <c r="AI89" s="7">
        <f t="shared" ref="AI89:BN89" si="39">AJ16-AI15+AJ39-AJ64</f>
        <v>-43</v>
      </c>
      <c r="AJ89" s="7">
        <f t="shared" si="39"/>
        <v>-4</v>
      </c>
      <c r="AK89" s="7">
        <f t="shared" si="39"/>
        <v>-16</v>
      </c>
      <c r="AL89" s="7">
        <f t="shared" si="39"/>
        <v>-4</v>
      </c>
      <c r="AM89" s="7">
        <f t="shared" si="39"/>
        <v>-4</v>
      </c>
      <c r="AN89" s="7">
        <f t="shared" si="39"/>
        <v>5</v>
      </c>
      <c r="AO89" s="7">
        <f t="shared" si="39"/>
        <v>-20</v>
      </c>
      <c r="AP89" s="7">
        <f t="shared" si="39"/>
        <v>1</v>
      </c>
      <c r="AQ89" s="7">
        <f t="shared" si="39"/>
        <v>13</v>
      </c>
      <c r="AR89" s="7">
        <f t="shared" si="39"/>
        <v>2</v>
      </c>
      <c r="AS89" s="7">
        <f t="shared" si="39"/>
        <v>-10</v>
      </c>
      <c r="AT89" s="7">
        <f t="shared" si="39"/>
        <v>12</v>
      </c>
      <c r="AU89" s="7">
        <f t="shared" si="39"/>
        <v>-10</v>
      </c>
      <c r="AV89" s="7">
        <f t="shared" si="39"/>
        <v>3</v>
      </c>
      <c r="AW89" s="7">
        <f t="shared" si="39"/>
        <v>-7</v>
      </c>
      <c r="AX89" s="7">
        <f t="shared" si="39"/>
        <v>-3</v>
      </c>
      <c r="AY89" s="7">
        <f t="shared" si="39"/>
        <v>-1</v>
      </c>
      <c r="AZ89" s="7">
        <f t="shared" si="39"/>
        <v>7</v>
      </c>
      <c r="BA89" s="7">
        <f t="shared" si="39"/>
        <v>2</v>
      </c>
      <c r="BB89" s="7">
        <f t="shared" si="39"/>
        <v>1</v>
      </c>
      <c r="BC89" s="7">
        <f t="shared" si="39"/>
        <v>10</v>
      </c>
      <c r="BD89" s="7">
        <f t="shared" si="39"/>
        <v>-7</v>
      </c>
      <c r="BE89" s="7">
        <f t="shared" si="39"/>
        <v>1</v>
      </c>
      <c r="BF89" s="7">
        <f t="shared" si="39"/>
        <v>4</v>
      </c>
      <c r="BG89" s="7">
        <f t="shared" si="39"/>
        <v>2</v>
      </c>
      <c r="BH89" s="7">
        <f t="shared" si="39"/>
        <v>-5</v>
      </c>
      <c r="BI89" s="7">
        <f t="shared" si="39"/>
        <v>-9</v>
      </c>
      <c r="BJ89" s="7">
        <f t="shared" si="39"/>
        <v>10</v>
      </c>
      <c r="BK89" s="7">
        <f t="shared" si="39"/>
        <v>-5</v>
      </c>
      <c r="BL89" s="7">
        <f t="shared" si="39"/>
        <v>4</v>
      </c>
      <c r="BM89" s="7">
        <f t="shared" si="39"/>
        <v>-10</v>
      </c>
      <c r="BN89" s="7">
        <f t="shared" si="39"/>
        <v>9</v>
      </c>
      <c r="BO89" s="7">
        <f t="shared" ref="BO89:CY89" si="40">BP16-BO15+BP39-BP64</f>
        <v>-5</v>
      </c>
      <c r="BP89" s="7">
        <f t="shared" si="40"/>
        <v>1</v>
      </c>
      <c r="BQ89" s="7">
        <f t="shared" si="40"/>
        <v>-3</v>
      </c>
      <c r="BR89" s="7">
        <f t="shared" si="40"/>
        <v>4</v>
      </c>
      <c r="BS89" s="7">
        <f t="shared" si="40"/>
        <v>6</v>
      </c>
      <c r="BT89" s="7">
        <f t="shared" si="40"/>
        <v>-3</v>
      </c>
      <c r="BU89" s="7">
        <f t="shared" si="40"/>
        <v>-5</v>
      </c>
      <c r="BV89" s="7">
        <f t="shared" si="40"/>
        <v>3</v>
      </c>
      <c r="BW89" s="7">
        <f t="shared" si="40"/>
        <v>1</v>
      </c>
      <c r="BX89" s="7">
        <f t="shared" si="40"/>
        <v>5</v>
      </c>
      <c r="BY89" s="7">
        <f t="shared" si="40"/>
        <v>0</v>
      </c>
      <c r="BZ89" s="7">
        <f t="shared" si="40"/>
        <v>7</v>
      </c>
      <c r="CA89" s="7">
        <f t="shared" si="40"/>
        <v>-6</v>
      </c>
      <c r="CB89" s="7">
        <f t="shared" si="40"/>
        <v>-3</v>
      </c>
      <c r="CC89" s="7">
        <f t="shared" si="40"/>
        <v>5</v>
      </c>
      <c r="CD89" s="7">
        <f t="shared" si="40"/>
        <v>0</v>
      </c>
      <c r="CE89" s="7">
        <f t="shared" si="40"/>
        <v>2</v>
      </c>
      <c r="CF89" s="7">
        <f t="shared" si="40"/>
        <v>8</v>
      </c>
      <c r="CG89" s="7">
        <f t="shared" si="40"/>
        <v>-7</v>
      </c>
      <c r="CH89" s="7">
        <f t="shared" si="40"/>
        <v>0</v>
      </c>
      <c r="CI89" s="7">
        <f t="shared" si="40"/>
        <v>0</v>
      </c>
      <c r="CJ89" s="7">
        <f t="shared" si="40"/>
        <v>1</v>
      </c>
      <c r="CK89" s="7">
        <f t="shared" si="40"/>
        <v>1</v>
      </c>
      <c r="CL89" s="7">
        <f t="shared" si="40"/>
        <v>1</v>
      </c>
      <c r="CM89" s="7">
        <f t="shared" si="40"/>
        <v>1</v>
      </c>
      <c r="CN89" s="7">
        <f t="shared" si="40"/>
        <v>0</v>
      </c>
      <c r="CO89" s="7">
        <f t="shared" si="40"/>
        <v>-1</v>
      </c>
      <c r="CP89" s="7">
        <f t="shared" si="40"/>
        <v>3</v>
      </c>
      <c r="CQ89" s="7">
        <f t="shared" si="40"/>
        <v>1</v>
      </c>
      <c r="CR89" s="7">
        <f t="shared" si="40"/>
        <v>-2</v>
      </c>
      <c r="CS89" s="7">
        <f t="shared" si="40"/>
        <v>0</v>
      </c>
      <c r="CT89" s="7">
        <f t="shared" si="40"/>
        <v>0</v>
      </c>
      <c r="CU89" s="7">
        <f t="shared" si="40"/>
        <v>2</v>
      </c>
      <c r="CV89" s="7">
        <f t="shared" si="40"/>
        <v>-1</v>
      </c>
      <c r="CW89" s="7">
        <f t="shared" si="40"/>
        <v>-1</v>
      </c>
      <c r="CX89" s="7">
        <f t="shared" si="40"/>
        <v>-1</v>
      </c>
      <c r="CY89" s="7">
        <f t="shared" si="40"/>
        <v>0</v>
      </c>
      <c r="CZ89" s="7"/>
    </row>
    <row r="90" spans="1:104" x14ac:dyDescent="0.3">
      <c r="A90" s="10">
        <v>2014</v>
      </c>
      <c r="C90" s="7">
        <f t="shared" ref="C90:AH90" si="41">D17-C16+D40-D65</f>
        <v>-125</v>
      </c>
      <c r="D90" s="7">
        <f t="shared" si="41"/>
        <v>-10</v>
      </c>
      <c r="E90" s="7">
        <f t="shared" si="41"/>
        <v>1</v>
      </c>
      <c r="F90" s="7">
        <f t="shared" si="41"/>
        <v>1</v>
      </c>
      <c r="G90" s="7">
        <f t="shared" si="41"/>
        <v>-4</v>
      </c>
      <c r="H90" s="7">
        <f t="shared" si="41"/>
        <v>3</v>
      </c>
      <c r="I90" s="7">
        <f t="shared" si="41"/>
        <v>0</v>
      </c>
      <c r="J90" s="7">
        <f t="shared" si="41"/>
        <v>-2</v>
      </c>
      <c r="K90" s="7">
        <f t="shared" si="41"/>
        <v>8</v>
      </c>
      <c r="L90" s="7">
        <f t="shared" si="41"/>
        <v>2</v>
      </c>
      <c r="M90" s="7">
        <f t="shared" si="41"/>
        <v>-1</v>
      </c>
      <c r="N90" s="7">
        <f t="shared" si="41"/>
        <v>-3</v>
      </c>
      <c r="O90" s="7">
        <f t="shared" si="41"/>
        <v>4</v>
      </c>
      <c r="P90" s="7">
        <f t="shared" si="41"/>
        <v>-3</v>
      </c>
      <c r="Q90" s="7">
        <f t="shared" si="41"/>
        <v>-7</v>
      </c>
      <c r="R90" s="7">
        <f t="shared" si="41"/>
        <v>-2</v>
      </c>
      <c r="S90" s="7">
        <f t="shared" si="41"/>
        <v>9</v>
      </c>
      <c r="T90" s="7">
        <f t="shared" si="41"/>
        <v>9</v>
      </c>
      <c r="U90" s="7">
        <f t="shared" si="41"/>
        <v>14</v>
      </c>
      <c r="V90" s="7">
        <f t="shared" si="41"/>
        <v>-5</v>
      </c>
      <c r="W90" s="7">
        <f t="shared" si="41"/>
        <v>16</v>
      </c>
      <c r="X90" s="7">
        <f t="shared" si="41"/>
        <v>-5</v>
      </c>
      <c r="Y90" s="7">
        <f t="shared" si="41"/>
        <v>43</v>
      </c>
      <c r="Z90" s="7">
        <f t="shared" si="41"/>
        <v>3</v>
      </c>
      <c r="AA90" s="7">
        <f t="shared" si="41"/>
        <v>7</v>
      </c>
      <c r="AB90" s="7">
        <f t="shared" si="41"/>
        <v>9</v>
      </c>
      <c r="AC90" s="7">
        <f t="shared" si="41"/>
        <v>28</v>
      </c>
      <c r="AD90" s="7">
        <f t="shared" si="41"/>
        <v>-24</v>
      </c>
      <c r="AE90" s="7">
        <f t="shared" si="41"/>
        <v>20</v>
      </c>
      <c r="AF90" s="7">
        <f t="shared" si="41"/>
        <v>7</v>
      </c>
      <c r="AG90" s="7">
        <f t="shared" si="41"/>
        <v>-5</v>
      </c>
      <c r="AH90" s="7">
        <f t="shared" si="41"/>
        <v>-14</v>
      </c>
      <c r="AI90" s="7">
        <f t="shared" ref="AI90:BN90" si="42">AJ17-AI16+AJ40-AJ65</f>
        <v>-28</v>
      </c>
      <c r="AJ90" s="7">
        <f t="shared" si="42"/>
        <v>10</v>
      </c>
      <c r="AK90" s="7">
        <f t="shared" si="42"/>
        <v>-15</v>
      </c>
      <c r="AL90" s="7">
        <f t="shared" si="42"/>
        <v>-5</v>
      </c>
      <c r="AM90" s="7">
        <f t="shared" si="42"/>
        <v>7</v>
      </c>
      <c r="AN90" s="7">
        <f t="shared" si="42"/>
        <v>5</v>
      </c>
      <c r="AO90" s="7">
        <f t="shared" si="42"/>
        <v>-16</v>
      </c>
      <c r="AP90" s="7">
        <f t="shared" si="42"/>
        <v>-11</v>
      </c>
      <c r="AQ90" s="7">
        <f t="shared" si="42"/>
        <v>18</v>
      </c>
      <c r="AR90" s="7">
        <f t="shared" si="42"/>
        <v>-2</v>
      </c>
      <c r="AS90" s="7">
        <f t="shared" si="42"/>
        <v>0</v>
      </c>
      <c r="AT90" s="7">
        <f t="shared" si="42"/>
        <v>0</v>
      </c>
      <c r="AU90" s="7">
        <f t="shared" si="42"/>
        <v>8</v>
      </c>
      <c r="AV90" s="7">
        <f t="shared" si="42"/>
        <v>6</v>
      </c>
      <c r="AW90" s="7">
        <f t="shared" si="42"/>
        <v>-4</v>
      </c>
      <c r="AX90" s="7">
        <f t="shared" si="42"/>
        <v>8</v>
      </c>
      <c r="AY90" s="7">
        <f t="shared" si="42"/>
        <v>5</v>
      </c>
      <c r="AZ90" s="7">
        <f t="shared" si="42"/>
        <v>-3</v>
      </c>
      <c r="BA90" s="7">
        <f t="shared" si="42"/>
        <v>2</v>
      </c>
      <c r="BB90" s="7">
        <f t="shared" si="42"/>
        <v>-1</v>
      </c>
      <c r="BC90" s="7">
        <f t="shared" si="42"/>
        <v>1</v>
      </c>
      <c r="BD90" s="7">
        <f t="shared" si="42"/>
        <v>-1</v>
      </c>
      <c r="BE90" s="7">
        <f t="shared" si="42"/>
        <v>-2</v>
      </c>
      <c r="BF90" s="7">
        <f t="shared" si="42"/>
        <v>-1</v>
      </c>
      <c r="BG90" s="7">
        <f t="shared" si="42"/>
        <v>-2</v>
      </c>
      <c r="BH90" s="7">
        <f t="shared" si="42"/>
        <v>1</v>
      </c>
      <c r="BI90" s="7">
        <f t="shared" si="42"/>
        <v>0</v>
      </c>
      <c r="BJ90" s="7">
        <f t="shared" si="42"/>
        <v>2</v>
      </c>
      <c r="BK90" s="7">
        <f t="shared" si="42"/>
        <v>-2</v>
      </c>
      <c r="BL90" s="7">
        <f t="shared" si="42"/>
        <v>10</v>
      </c>
      <c r="BM90" s="7">
        <f t="shared" si="42"/>
        <v>2</v>
      </c>
      <c r="BN90" s="7">
        <f t="shared" si="42"/>
        <v>0</v>
      </c>
      <c r="BO90" s="7">
        <f t="shared" ref="BO90:CY90" si="43">BP17-BO16+BP40-BP65</f>
        <v>2</v>
      </c>
      <c r="BP90" s="7">
        <f t="shared" si="43"/>
        <v>-3</v>
      </c>
      <c r="BQ90" s="7">
        <f t="shared" si="43"/>
        <v>3</v>
      </c>
      <c r="BR90" s="7">
        <f t="shared" si="43"/>
        <v>4</v>
      </c>
      <c r="BS90" s="7">
        <f t="shared" si="43"/>
        <v>1</v>
      </c>
      <c r="BT90" s="7">
        <f t="shared" si="43"/>
        <v>5</v>
      </c>
      <c r="BU90" s="7">
        <f t="shared" si="43"/>
        <v>-3</v>
      </c>
      <c r="BV90" s="7">
        <f t="shared" si="43"/>
        <v>2</v>
      </c>
      <c r="BW90" s="7">
        <f t="shared" si="43"/>
        <v>0</v>
      </c>
      <c r="BX90" s="7">
        <f t="shared" si="43"/>
        <v>3</v>
      </c>
      <c r="BY90" s="7">
        <f t="shared" si="43"/>
        <v>2</v>
      </c>
      <c r="BZ90" s="7">
        <f t="shared" si="43"/>
        <v>0</v>
      </c>
      <c r="CA90" s="7">
        <f t="shared" si="43"/>
        <v>-2</v>
      </c>
      <c r="CB90" s="7">
        <f t="shared" si="43"/>
        <v>1</v>
      </c>
      <c r="CC90" s="7">
        <f t="shared" si="43"/>
        <v>1</v>
      </c>
      <c r="CD90" s="7">
        <f t="shared" si="43"/>
        <v>7</v>
      </c>
      <c r="CE90" s="7">
        <f t="shared" si="43"/>
        <v>-4</v>
      </c>
      <c r="CF90" s="7">
        <f t="shared" si="43"/>
        <v>1</v>
      </c>
      <c r="CG90" s="7">
        <f t="shared" si="43"/>
        <v>2</v>
      </c>
      <c r="CH90" s="7">
        <f t="shared" si="43"/>
        <v>1</v>
      </c>
      <c r="CI90" s="7">
        <f t="shared" si="43"/>
        <v>2</v>
      </c>
      <c r="CJ90" s="7">
        <f t="shared" si="43"/>
        <v>0</v>
      </c>
      <c r="CK90" s="7">
        <f t="shared" si="43"/>
        <v>3</v>
      </c>
      <c r="CL90" s="7">
        <f t="shared" si="43"/>
        <v>-3</v>
      </c>
      <c r="CM90" s="7">
        <f t="shared" si="43"/>
        <v>-1</v>
      </c>
      <c r="CN90" s="7">
        <f t="shared" si="43"/>
        <v>3</v>
      </c>
      <c r="CO90" s="7">
        <f t="shared" si="43"/>
        <v>-1</v>
      </c>
      <c r="CP90" s="7">
        <f t="shared" si="43"/>
        <v>0</v>
      </c>
      <c r="CQ90" s="7">
        <f t="shared" si="43"/>
        <v>2</v>
      </c>
      <c r="CR90" s="7">
        <f t="shared" si="43"/>
        <v>-1</v>
      </c>
      <c r="CS90" s="7">
        <f t="shared" si="43"/>
        <v>1</v>
      </c>
      <c r="CT90" s="7">
        <f t="shared" si="43"/>
        <v>-2</v>
      </c>
      <c r="CU90" s="7">
        <f t="shared" si="43"/>
        <v>0</v>
      </c>
      <c r="CV90" s="7">
        <f t="shared" si="43"/>
        <v>0</v>
      </c>
      <c r="CW90" s="7">
        <f t="shared" si="43"/>
        <v>2</v>
      </c>
      <c r="CX90" s="7">
        <f t="shared" si="43"/>
        <v>-1</v>
      </c>
      <c r="CY90" s="7">
        <f t="shared" si="43"/>
        <v>0</v>
      </c>
      <c r="CZ90" s="7"/>
    </row>
    <row r="91" spans="1:104" x14ac:dyDescent="0.3">
      <c r="A91" s="10">
        <v>2015</v>
      </c>
      <c r="C91" s="7">
        <f t="shared" ref="C91:AH91" si="44">D18-C17+D41-D66</f>
        <v>-77</v>
      </c>
      <c r="D91" s="7">
        <f t="shared" si="44"/>
        <v>-1</v>
      </c>
      <c r="E91" s="7">
        <f t="shared" si="44"/>
        <v>10</v>
      </c>
      <c r="F91" s="7">
        <f t="shared" si="44"/>
        <v>2</v>
      </c>
      <c r="G91" s="7">
        <f t="shared" si="44"/>
        <v>-9</v>
      </c>
      <c r="H91" s="7">
        <f t="shared" si="44"/>
        <v>10</v>
      </c>
      <c r="I91" s="7">
        <f t="shared" si="44"/>
        <v>-12</v>
      </c>
      <c r="J91" s="7">
        <f t="shared" si="44"/>
        <v>0</v>
      </c>
      <c r="K91" s="7">
        <f t="shared" si="44"/>
        <v>-3</v>
      </c>
      <c r="L91" s="7">
        <f t="shared" si="44"/>
        <v>0</v>
      </c>
      <c r="M91" s="7">
        <f t="shared" si="44"/>
        <v>4</v>
      </c>
      <c r="N91" s="7">
        <f t="shared" si="44"/>
        <v>-2</v>
      </c>
      <c r="O91" s="7">
        <f t="shared" si="44"/>
        <v>10</v>
      </c>
      <c r="P91" s="7">
        <f t="shared" si="44"/>
        <v>-9</v>
      </c>
      <c r="Q91" s="7">
        <f t="shared" si="44"/>
        <v>4</v>
      </c>
      <c r="R91" s="7">
        <f t="shared" si="44"/>
        <v>8</v>
      </c>
      <c r="S91" s="7">
        <f t="shared" si="44"/>
        <v>13</v>
      </c>
      <c r="T91" s="7">
        <f t="shared" si="44"/>
        <v>5</v>
      </c>
      <c r="U91" s="7">
        <f t="shared" si="44"/>
        <v>5</v>
      </c>
      <c r="V91" s="7">
        <f t="shared" si="44"/>
        <v>6</v>
      </c>
      <c r="W91" s="7">
        <f t="shared" si="44"/>
        <v>6</v>
      </c>
      <c r="X91" s="7">
        <f t="shared" si="44"/>
        <v>17</v>
      </c>
      <c r="Y91" s="7">
        <f t="shared" si="44"/>
        <v>6</v>
      </c>
      <c r="Z91" s="7">
        <f t="shared" si="44"/>
        <v>22</v>
      </c>
      <c r="AA91" s="7">
        <f t="shared" si="44"/>
        <v>22</v>
      </c>
      <c r="AB91" s="7">
        <f t="shared" si="44"/>
        <v>23</v>
      </c>
      <c r="AC91" s="7">
        <f t="shared" si="44"/>
        <v>7</v>
      </c>
      <c r="AD91" s="7">
        <f t="shared" si="44"/>
        <v>-2</v>
      </c>
      <c r="AE91" s="7">
        <f t="shared" si="44"/>
        <v>5</v>
      </c>
      <c r="AF91" s="7">
        <f t="shared" si="44"/>
        <v>-4</v>
      </c>
      <c r="AG91" s="7">
        <f t="shared" si="44"/>
        <v>-11</v>
      </c>
      <c r="AH91" s="7">
        <f t="shared" si="44"/>
        <v>4</v>
      </c>
      <c r="AI91" s="7">
        <f t="shared" ref="AI91:BN91" si="45">AJ18-AI17+AJ41-AJ66</f>
        <v>-43</v>
      </c>
      <c r="AJ91" s="7">
        <f t="shared" si="45"/>
        <v>-9</v>
      </c>
      <c r="AK91" s="7">
        <f t="shared" si="45"/>
        <v>0</v>
      </c>
      <c r="AL91" s="7">
        <f t="shared" si="45"/>
        <v>-6</v>
      </c>
      <c r="AM91" s="7">
        <f t="shared" si="45"/>
        <v>16</v>
      </c>
      <c r="AN91" s="7">
        <f t="shared" si="45"/>
        <v>-9</v>
      </c>
      <c r="AO91" s="7">
        <f t="shared" si="45"/>
        <v>-12</v>
      </c>
      <c r="AP91" s="7">
        <f t="shared" si="45"/>
        <v>-9</v>
      </c>
      <c r="AQ91" s="7">
        <f t="shared" si="45"/>
        <v>0</v>
      </c>
      <c r="AR91" s="7">
        <f t="shared" si="45"/>
        <v>20</v>
      </c>
      <c r="AS91" s="7">
        <f t="shared" si="45"/>
        <v>-12</v>
      </c>
      <c r="AT91" s="7">
        <f t="shared" si="45"/>
        <v>5</v>
      </c>
      <c r="AU91" s="7">
        <f t="shared" si="45"/>
        <v>-2</v>
      </c>
      <c r="AV91" s="7">
        <f t="shared" si="45"/>
        <v>5</v>
      </c>
      <c r="AW91" s="7">
        <f t="shared" si="45"/>
        <v>1</v>
      </c>
      <c r="AX91" s="7">
        <f t="shared" si="45"/>
        <v>2</v>
      </c>
      <c r="AY91" s="7">
        <f t="shared" si="45"/>
        <v>8</v>
      </c>
      <c r="AZ91" s="7">
        <f t="shared" si="45"/>
        <v>-9</v>
      </c>
      <c r="BA91" s="7">
        <f t="shared" si="45"/>
        <v>11</v>
      </c>
      <c r="BB91" s="7">
        <f t="shared" si="45"/>
        <v>2</v>
      </c>
      <c r="BC91" s="7">
        <f t="shared" si="45"/>
        <v>-5</v>
      </c>
      <c r="BD91" s="7">
        <f t="shared" si="45"/>
        <v>4</v>
      </c>
      <c r="BE91" s="7">
        <f t="shared" si="45"/>
        <v>4</v>
      </c>
      <c r="BF91" s="7">
        <f t="shared" si="45"/>
        <v>-1</v>
      </c>
      <c r="BG91" s="7">
        <f t="shared" si="45"/>
        <v>-2</v>
      </c>
      <c r="BH91" s="7">
        <f t="shared" si="45"/>
        <v>2</v>
      </c>
      <c r="BI91" s="7">
        <f t="shared" si="45"/>
        <v>11</v>
      </c>
      <c r="BJ91" s="7">
        <f t="shared" si="45"/>
        <v>-4</v>
      </c>
      <c r="BK91" s="7">
        <f t="shared" si="45"/>
        <v>4</v>
      </c>
      <c r="BL91" s="7">
        <f t="shared" si="45"/>
        <v>-6</v>
      </c>
      <c r="BM91" s="7">
        <f t="shared" si="45"/>
        <v>1</v>
      </c>
      <c r="BN91" s="7">
        <f t="shared" si="45"/>
        <v>5</v>
      </c>
      <c r="BO91" s="7">
        <f t="shared" ref="BO91:CY91" si="46">BP18-BO17+BP41-BP66</f>
        <v>-2</v>
      </c>
      <c r="BP91" s="7">
        <f t="shared" si="46"/>
        <v>0</v>
      </c>
      <c r="BQ91" s="7">
        <f t="shared" si="46"/>
        <v>7</v>
      </c>
      <c r="BR91" s="7">
        <f t="shared" si="46"/>
        <v>-5</v>
      </c>
      <c r="BS91" s="7">
        <f t="shared" si="46"/>
        <v>-3</v>
      </c>
      <c r="BT91" s="7">
        <f t="shared" si="46"/>
        <v>3</v>
      </c>
      <c r="BU91" s="7">
        <f t="shared" si="46"/>
        <v>5</v>
      </c>
      <c r="BV91" s="7">
        <f t="shared" si="46"/>
        <v>1</v>
      </c>
      <c r="BW91" s="7">
        <f t="shared" si="46"/>
        <v>-4</v>
      </c>
      <c r="BX91" s="7">
        <f t="shared" si="46"/>
        <v>4</v>
      </c>
      <c r="BY91" s="7">
        <f t="shared" si="46"/>
        <v>-1</v>
      </c>
      <c r="BZ91" s="7">
        <f t="shared" si="46"/>
        <v>5</v>
      </c>
      <c r="CA91" s="7">
        <f t="shared" si="46"/>
        <v>-1</v>
      </c>
      <c r="CB91" s="7">
        <f t="shared" si="46"/>
        <v>1</v>
      </c>
      <c r="CC91" s="7">
        <f t="shared" si="46"/>
        <v>3</v>
      </c>
      <c r="CD91" s="7">
        <f t="shared" si="46"/>
        <v>-1</v>
      </c>
      <c r="CE91" s="7">
        <f t="shared" si="46"/>
        <v>3</v>
      </c>
      <c r="CF91" s="7">
        <f t="shared" si="46"/>
        <v>2</v>
      </c>
      <c r="CG91" s="7">
        <f t="shared" si="46"/>
        <v>1</v>
      </c>
      <c r="CH91" s="7">
        <f t="shared" si="46"/>
        <v>-2</v>
      </c>
      <c r="CI91" s="7">
        <f t="shared" si="46"/>
        <v>-1</v>
      </c>
      <c r="CJ91" s="7">
        <f t="shared" si="46"/>
        <v>3</v>
      </c>
      <c r="CK91" s="7">
        <f t="shared" si="46"/>
        <v>-1</v>
      </c>
      <c r="CL91" s="7">
        <f t="shared" si="46"/>
        <v>3</v>
      </c>
      <c r="CM91" s="7">
        <f t="shared" si="46"/>
        <v>3</v>
      </c>
      <c r="CN91" s="7">
        <f t="shared" si="46"/>
        <v>-4</v>
      </c>
      <c r="CO91" s="7">
        <f t="shared" si="46"/>
        <v>3</v>
      </c>
      <c r="CP91" s="7">
        <f t="shared" si="46"/>
        <v>1</v>
      </c>
      <c r="CQ91" s="7">
        <f t="shared" si="46"/>
        <v>-1</v>
      </c>
      <c r="CR91" s="7">
        <f t="shared" si="46"/>
        <v>0</v>
      </c>
      <c r="CS91" s="7">
        <f t="shared" si="46"/>
        <v>1</v>
      </c>
      <c r="CT91" s="7">
        <f t="shared" si="46"/>
        <v>0</v>
      </c>
      <c r="CU91" s="7">
        <f t="shared" si="46"/>
        <v>-4</v>
      </c>
      <c r="CV91" s="7">
        <f t="shared" si="46"/>
        <v>-1</v>
      </c>
      <c r="CW91" s="7">
        <f t="shared" si="46"/>
        <v>1</v>
      </c>
      <c r="CX91" s="7">
        <f t="shared" si="46"/>
        <v>-1</v>
      </c>
      <c r="CY91" s="7">
        <f t="shared" si="46"/>
        <v>1</v>
      </c>
      <c r="CZ91" s="7"/>
    </row>
    <row r="92" spans="1:104" x14ac:dyDescent="0.3">
      <c r="A92" s="10">
        <v>2016</v>
      </c>
      <c r="C92" s="7">
        <f t="shared" ref="C92:AH92" si="47">D19-C18+D42-D67</f>
        <v>-106</v>
      </c>
      <c r="D92" s="7">
        <f t="shared" si="47"/>
        <v>-3</v>
      </c>
      <c r="E92" s="7">
        <f t="shared" si="47"/>
        <v>7</v>
      </c>
      <c r="F92" s="7">
        <f t="shared" si="47"/>
        <v>-7</v>
      </c>
      <c r="G92" s="7">
        <f t="shared" si="47"/>
        <v>-6</v>
      </c>
      <c r="H92" s="7">
        <f t="shared" si="47"/>
        <v>4</v>
      </c>
      <c r="I92" s="7">
        <f t="shared" si="47"/>
        <v>-8</v>
      </c>
      <c r="J92" s="7">
        <f t="shared" si="47"/>
        <v>-12</v>
      </c>
      <c r="K92" s="7">
        <f t="shared" si="47"/>
        <v>3</v>
      </c>
      <c r="L92" s="7">
        <f t="shared" si="47"/>
        <v>-7</v>
      </c>
      <c r="M92" s="7">
        <f t="shared" si="47"/>
        <v>2</v>
      </c>
      <c r="N92" s="7">
        <f t="shared" si="47"/>
        <v>-6</v>
      </c>
      <c r="O92" s="7">
        <f t="shared" si="47"/>
        <v>0</v>
      </c>
      <c r="P92" s="7">
        <f t="shared" si="47"/>
        <v>19</v>
      </c>
      <c r="Q92" s="7">
        <f t="shared" si="47"/>
        <v>-23</v>
      </c>
      <c r="R92" s="7">
        <f t="shared" si="47"/>
        <v>18</v>
      </c>
      <c r="S92" s="7">
        <f t="shared" si="47"/>
        <v>3</v>
      </c>
      <c r="T92" s="7">
        <f t="shared" si="47"/>
        <v>16</v>
      </c>
      <c r="U92" s="7">
        <f t="shared" si="47"/>
        <v>5</v>
      </c>
      <c r="V92" s="7">
        <f t="shared" si="47"/>
        <v>24</v>
      </c>
      <c r="W92" s="7">
        <f t="shared" si="47"/>
        <v>3</v>
      </c>
      <c r="X92" s="7">
        <f t="shared" si="47"/>
        <v>19</v>
      </c>
      <c r="Y92" s="7">
        <f t="shared" si="47"/>
        <v>26</v>
      </c>
      <c r="Z92" s="7">
        <f t="shared" si="47"/>
        <v>-1</v>
      </c>
      <c r="AA92" s="7">
        <f t="shared" si="47"/>
        <v>8</v>
      </c>
      <c r="AB92" s="7">
        <f t="shared" si="47"/>
        <v>15</v>
      </c>
      <c r="AC92" s="7">
        <f t="shared" si="47"/>
        <v>17</v>
      </c>
      <c r="AD92" s="7">
        <f t="shared" si="47"/>
        <v>-10</v>
      </c>
      <c r="AE92" s="7">
        <f t="shared" si="47"/>
        <v>27</v>
      </c>
      <c r="AF92" s="7">
        <f t="shared" si="47"/>
        <v>0</v>
      </c>
      <c r="AG92" s="7">
        <f t="shared" si="47"/>
        <v>18</v>
      </c>
      <c r="AH92" s="7">
        <f t="shared" si="47"/>
        <v>-58</v>
      </c>
      <c r="AI92" s="7">
        <f t="shared" ref="AI92:BN92" si="48">AJ19-AI18+AJ42-AJ67</f>
        <v>13</v>
      </c>
      <c r="AJ92" s="7">
        <f t="shared" si="48"/>
        <v>-2</v>
      </c>
      <c r="AK92" s="7">
        <f t="shared" si="48"/>
        <v>-6</v>
      </c>
      <c r="AL92" s="7">
        <f t="shared" si="48"/>
        <v>-2</v>
      </c>
      <c r="AM92" s="7">
        <f t="shared" si="48"/>
        <v>14</v>
      </c>
      <c r="AN92" s="7">
        <f t="shared" si="48"/>
        <v>-8</v>
      </c>
      <c r="AO92" s="7">
        <f t="shared" si="48"/>
        <v>0</v>
      </c>
      <c r="AP92" s="7">
        <f t="shared" si="48"/>
        <v>-8</v>
      </c>
      <c r="AQ92" s="7">
        <f t="shared" si="48"/>
        <v>2</v>
      </c>
      <c r="AR92" s="7">
        <f t="shared" si="48"/>
        <v>-5</v>
      </c>
      <c r="AS92" s="7">
        <f t="shared" si="48"/>
        <v>1</v>
      </c>
      <c r="AT92" s="7">
        <f t="shared" si="48"/>
        <v>6</v>
      </c>
      <c r="AU92" s="7">
        <f t="shared" si="48"/>
        <v>-5</v>
      </c>
      <c r="AV92" s="7">
        <f t="shared" si="48"/>
        <v>10</v>
      </c>
      <c r="AW92" s="7">
        <f t="shared" si="48"/>
        <v>4</v>
      </c>
      <c r="AX92" s="7">
        <f t="shared" si="48"/>
        <v>1</v>
      </c>
      <c r="AY92" s="7">
        <f t="shared" si="48"/>
        <v>7</v>
      </c>
      <c r="AZ92" s="7">
        <f t="shared" si="48"/>
        <v>-4</v>
      </c>
      <c r="BA92" s="7">
        <f t="shared" si="48"/>
        <v>8</v>
      </c>
      <c r="BB92" s="7">
        <f t="shared" si="48"/>
        <v>-2</v>
      </c>
      <c r="BC92" s="7">
        <f t="shared" si="48"/>
        <v>0</v>
      </c>
      <c r="BD92" s="7">
        <f t="shared" si="48"/>
        <v>6</v>
      </c>
      <c r="BE92" s="7">
        <f t="shared" si="48"/>
        <v>12</v>
      </c>
      <c r="BF92" s="7">
        <f t="shared" si="48"/>
        <v>0</v>
      </c>
      <c r="BG92" s="7">
        <f t="shared" si="48"/>
        <v>7</v>
      </c>
      <c r="BH92" s="7">
        <f t="shared" si="48"/>
        <v>-7</v>
      </c>
      <c r="BI92" s="7">
        <f t="shared" si="48"/>
        <v>10</v>
      </c>
      <c r="BJ92" s="7">
        <f t="shared" si="48"/>
        <v>3</v>
      </c>
      <c r="BK92" s="7">
        <f t="shared" si="48"/>
        <v>6</v>
      </c>
      <c r="BL92" s="7">
        <f t="shared" si="48"/>
        <v>-2</v>
      </c>
      <c r="BM92" s="7">
        <f t="shared" si="48"/>
        <v>-5</v>
      </c>
      <c r="BN92" s="7">
        <f t="shared" si="48"/>
        <v>6</v>
      </c>
      <c r="BO92" s="7">
        <f t="shared" ref="BO92:CY92" si="49">BP19-BO18+BP42-BP67</f>
        <v>1</v>
      </c>
      <c r="BP92" s="7">
        <f t="shared" si="49"/>
        <v>3</v>
      </c>
      <c r="BQ92" s="7">
        <f t="shared" si="49"/>
        <v>4</v>
      </c>
      <c r="BR92" s="7">
        <f t="shared" si="49"/>
        <v>2</v>
      </c>
      <c r="BS92" s="7">
        <f t="shared" si="49"/>
        <v>0</v>
      </c>
      <c r="BT92" s="7">
        <f t="shared" si="49"/>
        <v>-1</v>
      </c>
      <c r="BU92" s="7">
        <f t="shared" si="49"/>
        <v>-1</v>
      </c>
      <c r="BV92" s="7">
        <f t="shared" si="49"/>
        <v>2</v>
      </c>
      <c r="BW92" s="7">
        <f t="shared" si="49"/>
        <v>2</v>
      </c>
      <c r="BX92" s="7">
        <f t="shared" si="49"/>
        <v>-8</v>
      </c>
      <c r="BY92" s="7">
        <f t="shared" si="49"/>
        <v>3</v>
      </c>
      <c r="BZ92" s="7">
        <f t="shared" si="49"/>
        <v>-2</v>
      </c>
      <c r="CA92" s="7">
        <f t="shared" si="49"/>
        <v>2</v>
      </c>
      <c r="CB92" s="7">
        <f t="shared" si="49"/>
        <v>-2</v>
      </c>
      <c r="CC92" s="7">
        <f t="shared" si="49"/>
        <v>1</v>
      </c>
      <c r="CD92" s="7">
        <f t="shared" si="49"/>
        <v>3</v>
      </c>
      <c r="CE92" s="7">
        <f t="shared" si="49"/>
        <v>0</v>
      </c>
      <c r="CF92" s="7">
        <f t="shared" si="49"/>
        <v>2</v>
      </c>
      <c r="CG92" s="7">
        <f t="shared" si="49"/>
        <v>4</v>
      </c>
      <c r="CH92" s="7">
        <f t="shared" si="49"/>
        <v>-1</v>
      </c>
      <c r="CI92" s="7">
        <f t="shared" si="49"/>
        <v>-1</v>
      </c>
      <c r="CJ92" s="7">
        <f t="shared" si="49"/>
        <v>4</v>
      </c>
      <c r="CK92" s="7">
        <f t="shared" si="49"/>
        <v>1</v>
      </c>
      <c r="CL92" s="7">
        <f t="shared" si="49"/>
        <v>2</v>
      </c>
      <c r="CM92" s="7">
        <f t="shared" si="49"/>
        <v>0</v>
      </c>
      <c r="CN92" s="7">
        <f t="shared" si="49"/>
        <v>0</v>
      </c>
      <c r="CO92" s="7">
        <f t="shared" si="49"/>
        <v>-3</v>
      </c>
      <c r="CP92" s="7">
        <f t="shared" si="49"/>
        <v>1</v>
      </c>
      <c r="CQ92" s="7">
        <f t="shared" si="49"/>
        <v>1</v>
      </c>
      <c r="CR92" s="7">
        <f t="shared" si="49"/>
        <v>-1</v>
      </c>
      <c r="CS92" s="7">
        <f t="shared" si="49"/>
        <v>1</v>
      </c>
      <c r="CT92" s="7">
        <f t="shared" si="49"/>
        <v>-1</v>
      </c>
      <c r="CU92" s="7">
        <f t="shared" si="49"/>
        <v>0</v>
      </c>
      <c r="CV92" s="7">
        <f t="shared" si="49"/>
        <v>1</v>
      </c>
      <c r="CW92" s="7">
        <f t="shared" si="49"/>
        <v>1</v>
      </c>
      <c r="CX92" s="7">
        <f t="shared" si="49"/>
        <v>1</v>
      </c>
      <c r="CY92" s="7">
        <f t="shared" si="49"/>
        <v>-2</v>
      </c>
      <c r="CZ92" s="7"/>
    </row>
    <row r="93" spans="1:104" x14ac:dyDescent="0.3">
      <c r="A93" s="10">
        <v>2017</v>
      </c>
      <c r="C93" s="7">
        <f t="shared" ref="C93:AH93" si="50">D20-C19+D43-D68</f>
        <v>-86</v>
      </c>
      <c r="D93" s="7">
        <f t="shared" si="50"/>
        <v>10</v>
      </c>
      <c r="E93" s="7">
        <f t="shared" si="50"/>
        <v>-13</v>
      </c>
      <c r="F93" s="7">
        <f t="shared" si="50"/>
        <v>4</v>
      </c>
      <c r="G93" s="7">
        <f t="shared" si="50"/>
        <v>-10</v>
      </c>
      <c r="H93" s="7">
        <f t="shared" si="50"/>
        <v>5</v>
      </c>
      <c r="I93" s="7">
        <f t="shared" si="50"/>
        <v>9</v>
      </c>
      <c r="J93" s="7">
        <f t="shared" si="50"/>
        <v>-17</v>
      </c>
      <c r="K93" s="7">
        <f t="shared" si="50"/>
        <v>2</v>
      </c>
      <c r="L93" s="7">
        <f t="shared" si="50"/>
        <v>-3</v>
      </c>
      <c r="M93" s="7">
        <f t="shared" si="50"/>
        <v>4</v>
      </c>
      <c r="N93" s="7">
        <f t="shared" si="50"/>
        <v>6</v>
      </c>
      <c r="O93" s="7">
        <f t="shared" si="50"/>
        <v>10</v>
      </c>
      <c r="P93" s="7">
        <f t="shared" si="50"/>
        <v>-8</v>
      </c>
      <c r="Q93" s="7">
        <f t="shared" si="50"/>
        <v>-8</v>
      </c>
      <c r="R93" s="7">
        <f t="shared" si="50"/>
        <v>7</v>
      </c>
      <c r="S93" s="7">
        <f t="shared" si="50"/>
        <v>6</v>
      </c>
      <c r="T93" s="7">
        <f t="shared" si="50"/>
        <v>10</v>
      </c>
      <c r="U93" s="7">
        <f t="shared" si="50"/>
        <v>15</v>
      </c>
      <c r="V93" s="7">
        <f t="shared" si="50"/>
        <v>14</v>
      </c>
      <c r="W93" s="7">
        <f t="shared" si="50"/>
        <v>-13</v>
      </c>
      <c r="X93" s="7">
        <f t="shared" si="50"/>
        <v>73</v>
      </c>
      <c r="Y93" s="7">
        <f t="shared" si="50"/>
        <v>19</v>
      </c>
      <c r="Z93" s="7">
        <f t="shared" si="50"/>
        <v>-38</v>
      </c>
      <c r="AA93" s="7">
        <f t="shared" si="50"/>
        <v>37</v>
      </c>
      <c r="AB93" s="7">
        <f t="shared" si="50"/>
        <v>10</v>
      </c>
      <c r="AC93" s="7">
        <f t="shared" si="50"/>
        <v>6</v>
      </c>
      <c r="AD93" s="7">
        <f t="shared" si="50"/>
        <v>74</v>
      </c>
      <c r="AE93" s="7">
        <f t="shared" si="50"/>
        <v>-4</v>
      </c>
      <c r="AF93" s="7">
        <f t="shared" si="50"/>
        <v>19</v>
      </c>
      <c r="AG93" s="7">
        <f t="shared" si="50"/>
        <v>-7</v>
      </c>
      <c r="AH93" s="7">
        <f t="shared" si="50"/>
        <v>-12</v>
      </c>
      <c r="AI93" s="7">
        <f t="shared" ref="AI93:BN93" si="51">AJ20-AI19+AJ43-AJ68</f>
        <v>-66</v>
      </c>
      <c r="AJ93" s="7">
        <f t="shared" si="51"/>
        <v>4</v>
      </c>
      <c r="AK93" s="7">
        <f t="shared" si="51"/>
        <v>-28</v>
      </c>
      <c r="AL93" s="7">
        <f t="shared" si="51"/>
        <v>-6</v>
      </c>
      <c r="AM93" s="7">
        <f t="shared" si="51"/>
        <v>-12</v>
      </c>
      <c r="AN93" s="7">
        <f t="shared" si="51"/>
        <v>0</v>
      </c>
      <c r="AO93" s="7">
        <f t="shared" si="51"/>
        <v>6</v>
      </c>
      <c r="AP93" s="7">
        <f t="shared" si="51"/>
        <v>-5</v>
      </c>
      <c r="AQ93" s="7">
        <f t="shared" si="51"/>
        <v>1</v>
      </c>
      <c r="AR93" s="7">
        <f t="shared" si="51"/>
        <v>-3</v>
      </c>
      <c r="AS93" s="7">
        <f t="shared" si="51"/>
        <v>-3</v>
      </c>
      <c r="AT93" s="7">
        <f t="shared" si="51"/>
        <v>15</v>
      </c>
      <c r="AU93" s="7">
        <f t="shared" si="51"/>
        <v>10</v>
      </c>
      <c r="AV93" s="7">
        <f t="shared" si="51"/>
        <v>-19</v>
      </c>
      <c r="AW93" s="7">
        <f t="shared" si="51"/>
        <v>-2</v>
      </c>
      <c r="AX93" s="7">
        <f t="shared" si="51"/>
        <v>-6</v>
      </c>
      <c r="AY93" s="7">
        <f t="shared" si="51"/>
        <v>-5</v>
      </c>
      <c r="AZ93" s="7">
        <f t="shared" si="51"/>
        <v>0</v>
      </c>
      <c r="BA93" s="7">
        <f t="shared" si="51"/>
        <v>11</v>
      </c>
      <c r="BB93" s="7">
        <f t="shared" si="51"/>
        <v>3</v>
      </c>
      <c r="BC93" s="7">
        <f t="shared" si="51"/>
        <v>14</v>
      </c>
      <c r="BD93" s="7">
        <f t="shared" si="51"/>
        <v>-2</v>
      </c>
      <c r="BE93" s="7">
        <f t="shared" si="51"/>
        <v>0</v>
      </c>
      <c r="BF93" s="7">
        <f t="shared" si="51"/>
        <v>14</v>
      </c>
      <c r="BG93" s="7">
        <f t="shared" si="51"/>
        <v>-2</v>
      </c>
      <c r="BH93" s="7">
        <f t="shared" si="51"/>
        <v>11</v>
      </c>
      <c r="BI93" s="7">
        <f t="shared" si="51"/>
        <v>-2</v>
      </c>
      <c r="BJ93" s="7">
        <f t="shared" si="51"/>
        <v>-3</v>
      </c>
      <c r="BK93" s="7">
        <f t="shared" si="51"/>
        <v>-5</v>
      </c>
      <c r="BL93" s="7">
        <f t="shared" si="51"/>
        <v>-3</v>
      </c>
      <c r="BM93" s="7">
        <f t="shared" si="51"/>
        <v>8</v>
      </c>
      <c r="BN93" s="7">
        <f t="shared" si="51"/>
        <v>-3</v>
      </c>
      <c r="BO93" s="7">
        <f t="shared" ref="BO93:CY93" si="52">BP20-BO19+BP43-BP68</f>
        <v>-4</v>
      </c>
      <c r="BP93" s="7">
        <f t="shared" si="52"/>
        <v>11</v>
      </c>
      <c r="BQ93" s="7">
        <f t="shared" si="52"/>
        <v>-4</v>
      </c>
      <c r="BR93" s="7">
        <f t="shared" si="52"/>
        <v>-5</v>
      </c>
      <c r="BS93" s="7">
        <f t="shared" si="52"/>
        <v>-2</v>
      </c>
      <c r="BT93" s="7">
        <f t="shared" si="52"/>
        <v>7</v>
      </c>
      <c r="BU93" s="7">
        <f t="shared" si="52"/>
        <v>-1</v>
      </c>
      <c r="BV93" s="7">
        <f t="shared" si="52"/>
        <v>1</v>
      </c>
      <c r="BW93" s="7">
        <f t="shared" si="52"/>
        <v>-5</v>
      </c>
      <c r="BX93" s="7">
        <f t="shared" si="52"/>
        <v>2</v>
      </c>
      <c r="BY93" s="7">
        <f t="shared" si="52"/>
        <v>0</v>
      </c>
      <c r="BZ93" s="7">
        <f t="shared" si="52"/>
        <v>3</v>
      </c>
      <c r="CA93" s="7">
        <f t="shared" si="52"/>
        <v>-2</v>
      </c>
      <c r="CB93" s="7">
        <f t="shared" si="52"/>
        <v>10</v>
      </c>
      <c r="CC93" s="7">
        <f t="shared" si="52"/>
        <v>-9</v>
      </c>
      <c r="CD93" s="7">
        <f t="shared" si="52"/>
        <v>1</v>
      </c>
      <c r="CE93" s="7">
        <f t="shared" si="52"/>
        <v>-2</v>
      </c>
      <c r="CF93" s="7">
        <f t="shared" si="52"/>
        <v>-2</v>
      </c>
      <c r="CG93" s="7">
        <f t="shared" si="52"/>
        <v>-2</v>
      </c>
      <c r="CH93" s="7">
        <f t="shared" si="52"/>
        <v>1</v>
      </c>
      <c r="CI93" s="7">
        <f t="shared" si="52"/>
        <v>1</v>
      </c>
      <c r="CJ93" s="7">
        <f t="shared" si="52"/>
        <v>3</v>
      </c>
      <c r="CK93" s="7">
        <f t="shared" si="52"/>
        <v>-4</v>
      </c>
      <c r="CL93" s="7">
        <f t="shared" si="52"/>
        <v>3</v>
      </c>
      <c r="CM93" s="7">
        <f t="shared" si="52"/>
        <v>1</v>
      </c>
      <c r="CN93" s="7">
        <f t="shared" si="52"/>
        <v>-1</v>
      </c>
      <c r="CO93" s="7">
        <f t="shared" si="52"/>
        <v>-2</v>
      </c>
      <c r="CP93" s="7">
        <f t="shared" si="52"/>
        <v>3</v>
      </c>
      <c r="CQ93" s="7">
        <f t="shared" si="52"/>
        <v>1</v>
      </c>
      <c r="CR93" s="7">
        <f t="shared" si="52"/>
        <v>-2</v>
      </c>
      <c r="CS93" s="7">
        <f t="shared" si="52"/>
        <v>-2</v>
      </c>
      <c r="CT93" s="7">
        <f t="shared" si="52"/>
        <v>0</v>
      </c>
      <c r="CU93" s="7">
        <f t="shared" si="52"/>
        <v>-2</v>
      </c>
      <c r="CV93" s="7">
        <f t="shared" si="52"/>
        <v>-1</v>
      </c>
      <c r="CW93" s="7">
        <f t="shared" si="52"/>
        <v>0</v>
      </c>
      <c r="CX93" s="7">
        <f t="shared" si="52"/>
        <v>-4</v>
      </c>
      <c r="CY93" s="7">
        <f t="shared" si="52"/>
        <v>0</v>
      </c>
      <c r="CZ93" s="7"/>
    </row>
    <row r="94" spans="1:104" x14ac:dyDescent="0.3">
      <c r="A94" s="10">
        <v>2018</v>
      </c>
      <c r="C94" s="7">
        <f t="shared" ref="C94:AH94" si="53">D21-C20+D44-D69</f>
        <v>-16</v>
      </c>
      <c r="D94" s="7">
        <f t="shared" si="53"/>
        <v>16</v>
      </c>
      <c r="E94" s="7">
        <f t="shared" si="53"/>
        <v>13</v>
      </c>
      <c r="F94" s="7">
        <f t="shared" si="53"/>
        <v>-18</v>
      </c>
      <c r="G94" s="7">
        <f t="shared" si="53"/>
        <v>2</v>
      </c>
      <c r="H94" s="7">
        <f t="shared" si="53"/>
        <v>-6</v>
      </c>
      <c r="I94" s="7">
        <f t="shared" si="53"/>
        <v>2</v>
      </c>
      <c r="J94" s="7">
        <f t="shared" si="53"/>
        <v>6</v>
      </c>
      <c r="K94" s="7">
        <f t="shared" si="53"/>
        <v>3</v>
      </c>
      <c r="L94" s="7">
        <f t="shared" si="53"/>
        <v>-3</v>
      </c>
      <c r="M94" s="7">
        <f t="shared" si="53"/>
        <v>-4</v>
      </c>
      <c r="N94" s="7">
        <f t="shared" si="53"/>
        <v>5</v>
      </c>
      <c r="O94" s="7">
        <f t="shared" si="53"/>
        <v>-5</v>
      </c>
      <c r="P94" s="7">
        <f t="shared" si="53"/>
        <v>1</v>
      </c>
      <c r="Q94" s="7">
        <f t="shared" si="53"/>
        <v>-6</v>
      </c>
      <c r="R94" s="7">
        <f t="shared" si="53"/>
        <v>5</v>
      </c>
      <c r="S94" s="7">
        <f t="shared" si="53"/>
        <v>11</v>
      </c>
      <c r="T94" s="7">
        <f t="shared" si="53"/>
        <v>31</v>
      </c>
      <c r="U94" s="7">
        <f t="shared" si="53"/>
        <v>-16</v>
      </c>
      <c r="V94" s="7">
        <f t="shared" si="53"/>
        <v>0</v>
      </c>
      <c r="W94" s="7">
        <f t="shared" si="53"/>
        <v>24</v>
      </c>
      <c r="X94" s="7">
        <f t="shared" si="53"/>
        <v>13</v>
      </c>
      <c r="Y94" s="7">
        <f t="shared" si="53"/>
        <v>54</v>
      </c>
      <c r="Z94" s="7">
        <f t="shared" si="53"/>
        <v>21</v>
      </c>
      <c r="AA94" s="7">
        <f t="shared" si="53"/>
        <v>26</v>
      </c>
      <c r="AB94" s="7">
        <f t="shared" si="53"/>
        <v>32</v>
      </c>
      <c r="AC94" s="7">
        <f t="shared" si="53"/>
        <v>31</v>
      </c>
      <c r="AD94" s="7">
        <f t="shared" si="53"/>
        <v>-3</v>
      </c>
      <c r="AE94" s="7">
        <f t="shared" si="53"/>
        <v>-15</v>
      </c>
      <c r="AF94" s="7">
        <f t="shared" si="53"/>
        <v>3</v>
      </c>
      <c r="AG94" s="7">
        <f t="shared" si="53"/>
        <v>5</v>
      </c>
      <c r="AH94" s="7">
        <f t="shared" si="53"/>
        <v>-20</v>
      </c>
      <c r="AI94" s="7">
        <f t="shared" ref="AI94:BN94" si="54">AJ21-AI20+AJ44-AJ69</f>
        <v>-18</v>
      </c>
      <c r="AJ94" s="7">
        <f t="shared" si="54"/>
        <v>-9</v>
      </c>
      <c r="AK94" s="7">
        <f t="shared" si="54"/>
        <v>-6</v>
      </c>
      <c r="AL94" s="7">
        <f t="shared" si="54"/>
        <v>4</v>
      </c>
      <c r="AM94" s="7">
        <f t="shared" si="54"/>
        <v>-2</v>
      </c>
      <c r="AN94" s="7">
        <f t="shared" si="54"/>
        <v>-7</v>
      </c>
      <c r="AO94" s="7">
        <f t="shared" si="54"/>
        <v>-16</v>
      </c>
      <c r="AP94" s="7">
        <f t="shared" si="54"/>
        <v>-15</v>
      </c>
      <c r="AQ94" s="7">
        <f t="shared" si="54"/>
        <v>17</v>
      </c>
      <c r="AR94" s="7">
        <f t="shared" si="54"/>
        <v>5</v>
      </c>
      <c r="AS94" s="7">
        <f t="shared" si="54"/>
        <v>-19</v>
      </c>
      <c r="AT94" s="7">
        <f t="shared" si="54"/>
        <v>-1</v>
      </c>
      <c r="AU94" s="7">
        <f t="shared" si="54"/>
        <v>-12</v>
      </c>
      <c r="AV94" s="7">
        <f t="shared" si="54"/>
        <v>3</v>
      </c>
      <c r="AW94" s="7">
        <f t="shared" si="54"/>
        <v>6</v>
      </c>
      <c r="AX94" s="7">
        <f t="shared" si="54"/>
        <v>5</v>
      </c>
      <c r="AY94" s="7">
        <f t="shared" si="54"/>
        <v>-11</v>
      </c>
      <c r="AZ94" s="7">
        <f t="shared" si="54"/>
        <v>11</v>
      </c>
      <c r="BA94" s="7">
        <f t="shared" si="54"/>
        <v>-14</v>
      </c>
      <c r="BB94" s="7">
        <f t="shared" si="54"/>
        <v>17</v>
      </c>
      <c r="BC94" s="7">
        <f t="shared" si="54"/>
        <v>-1</v>
      </c>
      <c r="BD94" s="7">
        <f t="shared" si="54"/>
        <v>-4</v>
      </c>
      <c r="BE94" s="7">
        <f t="shared" si="54"/>
        <v>4</v>
      </c>
      <c r="BF94" s="7">
        <f t="shared" si="54"/>
        <v>-4</v>
      </c>
      <c r="BG94" s="7">
        <f t="shared" si="54"/>
        <v>9</v>
      </c>
      <c r="BH94" s="7">
        <f t="shared" si="54"/>
        <v>2</v>
      </c>
      <c r="BI94" s="7">
        <f t="shared" si="54"/>
        <v>0</v>
      </c>
      <c r="BJ94" s="7">
        <f t="shared" si="54"/>
        <v>5</v>
      </c>
      <c r="BK94" s="7">
        <f t="shared" si="54"/>
        <v>-8</v>
      </c>
      <c r="BL94" s="7">
        <f t="shared" si="54"/>
        <v>10</v>
      </c>
      <c r="BM94" s="7">
        <f t="shared" si="54"/>
        <v>8</v>
      </c>
      <c r="BN94" s="7">
        <f t="shared" si="54"/>
        <v>-1</v>
      </c>
      <c r="BO94" s="7">
        <f t="shared" ref="BO94:CY94" si="55">BP21-BO20+BP44-BP69</f>
        <v>-9</v>
      </c>
      <c r="BP94" s="7">
        <f t="shared" si="55"/>
        <v>6</v>
      </c>
      <c r="BQ94" s="7">
        <f t="shared" si="55"/>
        <v>3</v>
      </c>
      <c r="BR94" s="7">
        <f t="shared" si="55"/>
        <v>-5</v>
      </c>
      <c r="BS94" s="7">
        <f t="shared" si="55"/>
        <v>2</v>
      </c>
      <c r="BT94" s="7">
        <f t="shared" si="55"/>
        <v>-5</v>
      </c>
      <c r="BU94" s="7">
        <f t="shared" si="55"/>
        <v>1</v>
      </c>
      <c r="BV94" s="7">
        <f t="shared" si="55"/>
        <v>4</v>
      </c>
      <c r="BW94" s="7">
        <f t="shared" si="55"/>
        <v>-1</v>
      </c>
      <c r="BX94" s="7">
        <f t="shared" si="55"/>
        <v>-3</v>
      </c>
      <c r="BY94" s="7">
        <f t="shared" si="55"/>
        <v>1</v>
      </c>
      <c r="BZ94" s="7">
        <f t="shared" si="55"/>
        <v>0</v>
      </c>
      <c r="CA94" s="7">
        <f t="shared" si="55"/>
        <v>-2</v>
      </c>
      <c r="CB94" s="7">
        <f t="shared" si="55"/>
        <v>4</v>
      </c>
      <c r="CC94" s="7">
        <f t="shared" si="55"/>
        <v>8</v>
      </c>
      <c r="CD94" s="7">
        <f t="shared" si="55"/>
        <v>-3</v>
      </c>
      <c r="CE94" s="7">
        <f t="shared" si="55"/>
        <v>0</v>
      </c>
      <c r="CF94" s="7">
        <f t="shared" si="55"/>
        <v>-1</v>
      </c>
      <c r="CG94" s="7">
        <f t="shared" si="55"/>
        <v>1</v>
      </c>
      <c r="CH94" s="7">
        <f t="shared" si="55"/>
        <v>-1</v>
      </c>
      <c r="CI94" s="7">
        <f t="shared" si="55"/>
        <v>3</v>
      </c>
      <c r="CJ94" s="7">
        <f t="shared" si="55"/>
        <v>2</v>
      </c>
      <c r="CK94" s="7">
        <f t="shared" si="55"/>
        <v>3</v>
      </c>
      <c r="CL94" s="7">
        <f t="shared" si="55"/>
        <v>-2</v>
      </c>
      <c r="CM94" s="7">
        <f t="shared" si="55"/>
        <v>1</v>
      </c>
      <c r="CN94" s="7">
        <f t="shared" si="55"/>
        <v>2</v>
      </c>
      <c r="CO94" s="7">
        <f t="shared" si="55"/>
        <v>0</v>
      </c>
      <c r="CP94" s="7">
        <f t="shared" si="55"/>
        <v>5</v>
      </c>
      <c r="CQ94" s="7">
        <f t="shared" si="55"/>
        <v>-4</v>
      </c>
      <c r="CR94" s="7">
        <f t="shared" si="55"/>
        <v>0</v>
      </c>
      <c r="CS94" s="7">
        <f t="shared" si="55"/>
        <v>-3</v>
      </c>
      <c r="CT94" s="7">
        <f t="shared" si="55"/>
        <v>0</v>
      </c>
      <c r="CU94" s="7">
        <f t="shared" si="55"/>
        <v>0</v>
      </c>
      <c r="CV94" s="7">
        <f t="shared" si="55"/>
        <v>-1</v>
      </c>
      <c r="CW94" s="7">
        <f t="shared" si="55"/>
        <v>-3</v>
      </c>
      <c r="CX94" s="7">
        <f t="shared" si="55"/>
        <v>0</v>
      </c>
      <c r="CY94" s="7">
        <f t="shared" si="55"/>
        <v>-1</v>
      </c>
      <c r="CZ94" s="7"/>
    </row>
    <row r="95" spans="1:104" x14ac:dyDescent="0.3">
      <c r="A95" s="10">
        <v>2019</v>
      </c>
      <c r="C95" s="7">
        <f t="shared" ref="C95:AH95" si="56">D22-C21+D45-D70</f>
        <v>10</v>
      </c>
      <c r="D95" s="7">
        <f t="shared" si="56"/>
        <v>5</v>
      </c>
      <c r="E95" s="7">
        <f t="shared" si="56"/>
        <v>13</v>
      </c>
      <c r="F95" s="7">
        <f t="shared" si="56"/>
        <v>7</v>
      </c>
      <c r="G95" s="7">
        <f t="shared" si="56"/>
        <v>-2</v>
      </c>
      <c r="H95" s="7">
        <f t="shared" si="56"/>
        <v>-9</v>
      </c>
      <c r="I95" s="7">
        <f t="shared" si="56"/>
        <v>2</v>
      </c>
      <c r="J95" s="7">
        <f t="shared" si="56"/>
        <v>-1</v>
      </c>
      <c r="K95" s="7">
        <f t="shared" si="56"/>
        <v>4</v>
      </c>
      <c r="L95" s="7">
        <f t="shared" si="56"/>
        <v>-10</v>
      </c>
      <c r="M95" s="7">
        <f t="shared" si="56"/>
        <v>16</v>
      </c>
      <c r="N95" s="7">
        <f t="shared" si="56"/>
        <v>-11</v>
      </c>
      <c r="O95" s="7">
        <f t="shared" si="56"/>
        <v>9</v>
      </c>
      <c r="P95" s="7">
        <f t="shared" si="56"/>
        <v>-12</v>
      </c>
      <c r="Q95" s="7">
        <f t="shared" si="56"/>
        <v>6</v>
      </c>
      <c r="R95" s="7">
        <f t="shared" si="56"/>
        <v>1</v>
      </c>
      <c r="S95" s="7">
        <f t="shared" si="56"/>
        <v>4</v>
      </c>
      <c r="T95" s="7">
        <f t="shared" si="56"/>
        <v>22</v>
      </c>
      <c r="U95" s="7">
        <f t="shared" si="56"/>
        <v>-15</v>
      </c>
      <c r="V95" s="7">
        <f t="shared" si="56"/>
        <v>1</v>
      </c>
      <c r="W95" s="7">
        <f t="shared" si="56"/>
        <v>35</v>
      </c>
      <c r="X95" s="7">
        <f t="shared" si="56"/>
        <v>3</v>
      </c>
      <c r="Y95" s="7">
        <f t="shared" si="56"/>
        <v>-21</v>
      </c>
      <c r="Z95" s="7">
        <f t="shared" si="56"/>
        <v>39</v>
      </c>
      <c r="AA95" s="7">
        <f t="shared" si="56"/>
        <v>-5</v>
      </c>
      <c r="AB95" s="7">
        <f t="shared" si="56"/>
        <v>5</v>
      </c>
      <c r="AC95" s="7">
        <f t="shared" si="56"/>
        <v>21</v>
      </c>
      <c r="AD95" s="7">
        <f t="shared" si="56"/>
        <v>-10</v>
      </c>
      <c r="AE95" s="7">
        <f t="shared" si="56"/>
        <v>14</v>
      </c>
      <c r="AF95" s="7">
        <f t="shared" si="56"/>
        <v>-10</v>
      </c>
      <c r="AG95" s="7">
        <f t="shared" si="56"/>
        <v>3</v>
      </c>
      <c r="AH95" s="7">
        <f t="shared" si="56"/>
        <v>-18</v>
      </c>
      <c r="AI95" s="7">
        <f t="shared" ref="AI95:BN95" si="57">AJ22-AI21+AJ45-AJ70</f>
        <v>-5</v>
      </c>
      <c r="AJ95" s="7">
        <f t="shared" si="57"/>
        <v>11</v>
      </c>
      <c r="AK95" s="7">
        <f t="shared" si="57"/>
        <v>-5</v>
      </c>
      <c r="AL95" s="7">
        <f t="shared" si="57"/>
        <v>-2</v>
      </c>
      <c r="AM95" s="7">
        <f t="shared" si="57"/>
        <v>-8</v>
      </c>
      <c r="AN95" s="7">
        <f t="shared" si="57"/>
        <v>-26</v>
      </c>
      <c r="AO95" s="7">
        <f t="shared" si="57"/>
        <v>3</v>
      </c>
      <c r="AP95" s="7">
        <f t="shared" si="57"/>
        <v>14</v>
      </c>
      <c r="AQ95" s="7">
        <f t="shared" si="57"/>
        <v>-1</v>
      </c>
      <c r="AR95" s="7">
        <f t="shared" si="57"/>
        <v>12</v>
      </c>
      <c r="AS95" s="7">
        <f t="shared" si="57"/>
        <v>-20</v>
      </c>
      <c r="AT95" s="7">
        <f t="shared" si="57"/>
        <v>2</v>
      </c>
      <c r="AU95" s="7">
        <f t="shared" si="57"/>
        <v>-3</v>
      </c>
      <c r="AV95" s="7">
        <f t="shared" si="57"/>
        <v>27</v>
      </c>
      <c r="AW95" s="7">
        <f t="shared" si="57"/>
        <v>5</v>
      </c>
      <c r="AX95" s="7">
        <f t="shared" si="57"/>
        <v>13</v>
      </c>
      <c r="AY95" s="7">
        <f t="shared" si="57"/>
        <v>-9</v>
      </c>
      <c r="AZ95" s="7">
        <f t="shared" si="57"/>
        <v>4</v>
      </c>
      <c r="BA95" s="7">
        <f t="shared" si="57"/>
        <v>-3</v>
      </c>
      <c r="BB95" s="7">
        <f t="shared" si="57"/>
        <v>5</v>
      </c>
      <c r="BC95" s="7">
        <f t="shared" si="57"/>
        <v>-1</v>
      </c>
      <c r="BD95" s="7">
        <f t="shared" si="57"/>
        <v>10</v>
      </c>
      <c r="BE95" s="7">
        <f t="shared" si="57"/>
        <v>13</v>
      </c>
      <c r="BF95" s="7">
        <f t="shared" si="57"/>
        <v>8</v>
      </c>
      <c r="BG95" s="7">
        <f t="shared" si="57"/>
        <v>0</v>
      </c>
      <c r="BH95" s="7">
        <f t="shared" si="57"/>
        <v>0</v>
      </c>
      <c r="BI95" s="7">
        <f t="shared" si="57"/>
        <v>-3</v>
      </c>
      <c r="BJ95" s="7">
        <f t="shared" si="57"/>
        <v>5</v>
      </c>
      <c r="BK95" s="7">
        <f t="shared" si="57"/>
        <v>7</v>
      </c>
      <c r="BL95" s="7">
        <f t="shared" si="57"/>
        <v>1</v>
      </c>
      <c r="BM95" s="7">
        <f t="shared" si="57"/>
        <v>8</v>
      </c>
      <c r="BN95" s="7">
        <f t="shared" si="57"/>
        <v>-5</v>
      </c>
      <c r="BO95" s="7">
        <f t="shared" ref="BO95:CY95" si="58">BP22-BO21+BP45-BP70</f>
        <v>9</v>
      </c>
      <c r="BP95" s="7">
        <f t="shared" si="58"/>
        <v>-5</v>
      </c>
      <c r="BQ95" s="7">
        <f t="shared" si="58"/>
        <v>-2</v>
      </c>
      <c r="BR95" s="7">
        <f t="shared" si="58"/>
        <v>10</v>
      </c>
      <c r="BS95" s="7">
        <f t="shared" si="58"/>
        <v>-2</v>
      </c>
      <c r="BT95" s="7">
        <f t="shared" si="58"/>
        <v>2</v>
      </c>
      <c r="BU95" s="7">
        <f t="shared" si="58"/>
        <v>3</v>
      </c>
      <c r="BV95" s="7">
        <f t="shared" si="58"/>
        <v>2</v>
      </c>
      <c r="BW95" s="7">
        <f t="shared" si="58"/>
        <v>-1</v>
      </c>
      <c r="BX95" s="7">
        <f t="shared" si="58"/>
        <v>-3</v>
      </c>
      <c r="BY95" s="7">
        <f t="shared" si="58"/>
        <v>6</v>
      </c>
      <c r="BZ95" s="7">
        <f t="shared" si="58"/>
        <v>-3</v>
      </c>
      <c r="CA95" s="7">
        <f t="shared" si="58"/>
        <v>1</v>
      </c>
      <c r="CB95" s="7">
        <f t="shared" si="58"/>
        <v>2</v>
      </c>
      <c r="CC95" s="7">
        <f t="shared" si="58"/>
        <v>0</v>
      </c>
      <c r="CD95" s="7">
        <f t="shared" si="58"/>
        <v>-2</v>
      </c>
      <c r="CE95" s="7">
        <f t="shared" si="58"/>
        <v>4</v>
      </c>
      <c r="CF95" s="7">
        <f t="shared" si="58"/>
        <v>0</v>
      </c>
      <c r="CG95" s="7">
        <f t="shared" si="58"/>
        <v>2</v>
      </c>
      <c r="CH95" s="7">
        <f t="shared" si="58"/>
        <v>0</v>
      </c>
      <c r="CI95" s="7">
        <f t="shared" si="58"/>
        <v>-1</v>
      </c>
      <c r="CJ95" s="7">
        <f t="shared" si="58"/>
        <v>4</v>
      </c>
      <c r="CK95" s="7">
        <f t="shared" si="58"/>
        <v>-2</v>
      </c>
      <c r="CL95" s="7">
        <f t="shared" si="58"/>
        <v>-1</v>
      </c>
      <c r="CM95" s="7">
        <f t="shared" si="58"/>
        <v>7</v>
      </c>
      <c r="CN95" s="7">
        <f t="shared" si="58"/>
        <v>-4</v>
      </c>
      <c r="CO95" s="7">
        <f t="shared" si="58"/>
        <v>-1</v>
      </c>
      <c r="CP95" s="7">
        <f t="shared" si="58"/>
        <v>5</v>
      </c>
      <c r="CQ95" s="7">
        <f t="shared" si="58"/>
        <v>-3</v>
      </c>
      <c r="CR95" s="7">
        <f t="shared" si="58"/>
        <v>1</v>
      </c>
      <c r="CS95" s="7">
        <f t="shared" si="58"/>
        <v>-3</v>
      </c>
      <c r="CT95" s="7">
        <f t="shared" si="58"/>
        <v>-4</v>
      </c>
      <c r="CU95" s="7">
        <f t="shared" si="58"/>
        <v>1</v>
      </c>
      <c r="CV95" s="7">
        <f t="shared" si="58"/>
        <v>-1</v>
      </c>
      <c r="CW95" s="7">
        <f t="shared" si="58"/>
        <v>1</v>
      </c>
      <c r="CX95" s="7">
        <f t="shared" si="58"/>
        <v>-3</v>
      </c>
      <c r="CY95" s="7">
        <f t="shared" si="58"/>
        <v>0</v>
      </c>
      <c r="CZ95" s="7"/>
    </row>
    <row r="96" spans="1:104" x14ac:dyDescent="0.3">
      <c r="A96" s="10">
        <v>2020</v>
      </c>
      <c r="C96" s="7">
        <f t="shared" ref="C96:AH96" si="59">D23-C22+D46-D71</f>
        <v>58</v>
      </c>
      <c r="D96" s="7">
        <f t="shared" si="59"/>
        <v>30</v>
      </c>
      <c r="E96" s="7">
        <f t="shared" si="59"/>
        <v>39</v>
      </c>
      <c r="F96" s="7">
        <f t="shared" si="59"/>
        <v>-9</v>
      </c>
      <c r="G96" s="7">
        <f t="shared" si="59"/>
        <v>-30</v>
      </c>
      <c r="H96" s="7">
        <f t="shared" si="59"/>
        <v>0</v>
      </c>
      <c r="I96" s="7">
        <f t="shared" si="59"/>
        <v>0</v>
      </c>
      <c r="J96" s="7">
        <f t="shared" si="59"/>
        <v>-8</v>
      </c>
      <c r="K96" s="7">
        <f t="shared" si="59"/>
        <v>-6</v>
      </c>
      <c r="L96" s="7">
        <f t="shared" si="59"/>
        <v>-5</v>
      </c>
      <c r="M96" s="7">
        <f t="shared" si="59"/>
        <v>-11</v>
      </c>
      <c r="N96" s="7">
        <f t="shared" si="59"/>
        <v>-1</v>
      </c>
      <c r="O96" s="7">
        <f t="shared" si="59"/>
        <v>8</v>
      </c>
      <c r="P96" s="7">
        <f t="shared" si="59"/>
        <v>-7</v>
      </c>
      <c r="Q96" s="7">
        <f t="shared" si="59"/>
        <v>-4</v>
      </c>
      <c r="R96" s="7">
        <f t="shared" si="59"/>
        <v>-5</v>
      </c>
      <c r="S96" s="7">
        <f t="shared" si="59"/>
        <v>20</v>
      </c>
      <c r="T96" s="7">
        <f t="shared" si="59"/>
        <v>114</v>
      </c>
      <c r="U96" s="7">
        <f t="shared" si="59"/>
        <v>32</v>
      </c>
      <c r="V96" s="7">
        <f t="shared" si="59"/>
        <v>-86</v>
      </c>
      <c r="W96" s="7">
        <f t="shared" si="59"/>
        <v>5</v>
      </c>
      <c r="X96" s="7">
        <f t="shared" si="59"/>
        <v>11</v>
      </c>
      <c r="Y96" s="7">
        <f t="shared" si="59"/>
        <v>17</v>
      </c>
      <c r="Z96" s="7">
        <f t="shared" si="59"/>
        <v>37</v>
      </c>
      <c r="AA96" s="7">
        <f t="shared" si="59"/>
        <v>53</v>
      </c>
      <c r="AB96" s="7">
        <f t="shared" si="59"/>
        <v>32</v>
      </c>
      <c r="AC96" s="7">
        <f t="shared" si="59"/>
        <v>27</v>
      </c>
      <c r="AD96" s="7">
        <f t="shared" si="59"/>
        <v>-18</v>
      </c>
      <c r="AE96" s="7">
        <f t="shared" si="59"/>
        <v>25</v>
      </c>
      <c r="AF96" s="7">
        <f t="shared" si="59"/>
        <v>3</v>
      </c>
      <c r="AG96" s="7">
        <f t="shared" si="59"/>
        <v>-21</v>
      </c>
      <c r="AH96" s="7">
        <f t="shared" si="59"/>
        <v>-33</v>
      </c>
      <c r="AI96" s="7">
        <f t="shared" ref="AI96:BN96" si="60">AJ23-AI22+AJ46-AJ71</f>
        <v>-32</v>
      </c>
      <c r="AJ96" s="7">
        <f t="shared" si="60"/>
        <v>-32</v>
      </c>
      <c r="AK96" s="7">
        <f t="shared" si="60"/>
        <v>-5</v>
      </c>
      <c r="AL96" s="7">
        <f t="shared" si="60"/>
        <v>1</v>
      </c>
      <c r="AM96" s="7">
        <f t="shared" si="60"/>
        <v>-28</v>
      </c>
      <c r="AN96" s="7">
        <f t="shared" si="60"/>
        <v>-5</v>
      </c>
      <c r="AO96" s="7">
        <f t="shared" si="60"/>
        <v>7</v>
      </c>
      <c r="AP96" s="7">
        <f t="shared" si="60"/>
        <v>-2</v>
      </c>
      <c r="AQ96" s="7">
        <f t="shared" si="60"/>
        <v>-12</v>
      </c>
      <c r="AR96" s="7">
        <f t="shared" si="60"/>
        <v>-13</v>
      </c>
      <c r="AS96" s="7">
        <f t="shared" si="60"/>
        <v>-12</v>
      </c>
      <c r="AT96" s="7">
        <f t="shared" si="60"/>
        <v>-15</v>
      </c>
      <c r="AU96" s="7">
        <f t="shared" si="60"/>
        <v>28</v>
      </c>
      <c r="AV96" s="7">
        <f t="shared" si="60"/>
        <v>-23</v>
      </c>
      <c r="AW96" s="7">
        <f t="shared" si="60"/>
        <v>13</v>
      </c>
      <c r="AX96" s="7">
        <f t="shared" si="60"/>
        <v>-3</v>
      </c>
      <c r="AY96" s="7">
        <f t="shared" si="60"/>
        <v>-3</v>
      </c>
      <c r="AZ96" s="7">
        <f t="shared" si="60"/>
        <v>1</v>
      </c>
      <c r="BA96" s="7">
        <f t="shared" si="60"/>
        <v>-1</v>
      </c>
      <c r="BB96" s="7">
        <f t="shared" si="60"/>
        <v>4</v>
      </c>
      <c r="BC96" s="7">
        <f t="shared" si="60"/>
        <v>3</v>
      </c>
      <c r="BD96" s="7">
        <f t="shared" si="60"/>
        <v>8</v>
      </c>
      <c r="BE96" s="7">
        <f t="shared" si="60"/>
        <v>-2</v>
      </c>
      <c r="BF96" s="7">
        <f t="shared" si="60"/>
        <v>3</v>
      </c>
      <c r="BG96" s="7">
        <f t="shared" si="60"/>
        <v>-4</v>
      </c>
      <c r="BH96" s="7">
        <f t="shared" si="60"/>
        <v>4</v>
      </c>
      <c r="BI96" s="7">
        <f t="shared" si="60"/>
        <v>2</v>
      </c>
      <c r="BJ96" s="7">
        <f t="shared" si="60"/>
        <v>6</v>
      </c>
      <c r="BK96" s="7">
        <f t="shared" si="60"/>
        <v>7</v>
      </c>
      <c r="BL96" s="7">
        <f t="shared" si="60"/>
        <v>2</v>
      </c>
      <c r="BM96" s="7">
        <f t="shared" si="60"/>
        <v>7</v>
      </c>
      <c r="BN96" s="7">
        <f t="shared" si="60"/>
        <v>-10</v>
      </c>
      <c r="BO96" s="7">
        <f t="shared" ref="BO96:CY96" si="61">BP23-BO22+BP46-BP71</f>
        <v>3</v>
      </c>
      <c r="BP96" s="7">
        <f t="shared" si="61"/>
        <v>9</v>
      </c>
      <c r="BQ96" s="7">
        <f t="shared" si="61"/>
        <v>-8</v>
      </c>
      <c r="BR96" s="7">
        <f t="shared" si="61"/>
        <v>6</v>
      </c>
      <c r="BS96" s="7">
        <f t="shared" si="61"/>
        <v>-3</v>
      </c>
      <c r="BT96" s="7">
        <f t="shared" si="61"/>
        <v>3</v>
      </c>
      <c r="BU96" s="7">
        <f t="shared" si="61"/>
        <v>-3</v>
      </c>
      <c r="BV96" s="7">
        <f t="shared" si="61"/>
        <v>1</v>
      </c>
      <c r="BW96" s="7">
        <f t="shared" si="61"/>
        <v>-2</v>
      </c>
      <c r="BX96" s="7">
        <f t="shared" si="61"/>
        <v>-2</v>
      </c>
      <c r="BY96" s="7">
        <f t="shared" si="61"/>
        <v>-4</v>
      </c>
      <c r="BZ96" s="7">
        <f t="shared" si="61"/>
        <v>9</v>
      </c>
      <c r="CA96" s="7">
        <f t="shared" si="61"/>
        <v>-1</v>
      </c>
      <c r="CB96" s="7">
        <f t="shared" si="61"/>
        <v>5</v>
      </c>
      <c r="CC96" s="7">
        <f t="shared" si="61"/>
        <v>-4</v>
      </c>
      <c r="CD96" s="7">
        <f t="shared" si="61"/>
        <v>-1</v>
      </c>
      <c r="CE96" s="7">
        <f t="shared" si="61"/>
        <v>-6</v>
      </c>
      <c r="CF96" s="7">
        <f t="shared" si="61"/>
        <v>-1</v>
      </c>
      <c r="CG96" s="7">
        <f t="shared" si="61"/>
        <v>4</v>
      </c>
      <c r="CH96" s="7">
        <f t="shared" si="61"/>
        <v>-4</v>
      </c>
      <c r="CI96" s="7">
        <f t="shared" si="61"/>
        <v>0</v>
      </c>
      <c r="CJ96" s="7">
        <f t="shared" si="61"/>
        <v>1</v>
      </c>
      <c r="CK96" s="7">
        <f t="shared" si="61"/>
        <v>-1</v>
      </c>
      <c r="CL96" s="7">
        <f t="shared" si="61"/>
        <v>0</v>
      </c>
      <c r="CM96" s="7">
        <f t="shared" si="61"/>
        <v>-1</v>
      </c>
      <c r="CN96" s="7">
        <f t="shared" si="61"/>
        <v>-2</v>
      </c>
      <c r="CO96" s="7">
        <f t="shared" si="61"/>
        <v>3</v>
      </c>
      <c r="CP96" s="7">
        <f t="shared" si="61"/>
        <v>-7</v>
      </c>
      <c r="CQ96" s="7">
        <f t="shared" si="61"/>
        <v>1</v>
      </c>
      <c r="CR96" s="7">
        <f t="shared" si="61"/>
        <v>5</v>
      </c>
      <c r="CS96" s="7">
        <f t="shared" si="61"/>
        <v>-2</v>
      </c>
      <c r="CT96" s="7">
        <f t="shared" si="61"/>
        <v>-1</v>
      </c>
      <c r="CU96" s="7">
        <f t="shared" si="61"/>
        <v>-3</v>
      </c>
      <c r="CV96" s="7">
        <f t="shared" si="61"/>
        <v>2</v>
      </c>
      <c r="CW96" s="7">
        <f t="shared" si="61"/>
        <v>-3</v>
      </c>
      <c r="CX96" s="7">
        <f t="shared" si="61"/>
        <v>-1</v>
      </c>
      <c r="CY96" s="7">
        <f t="shared" si="61"/>
        <v>1</v>
      </c>
      <c r="CZ96" s="7"/>
    </row>
    <row r="97" spans="1:105" x14ac:dyDescent="0.3">
      <c r="A97" s="10">
        <v>2021</v>
      </c>
      <c r="C97" s="7">
        <f t="shared" ref="C97:AH97" si="62">D24-C23+D47-D72</f>
        <v>-103</v>
      </c>
      <c r="D97" s="7">
        <f t="shared" si="62"/>
        <v>-20</v>
      </c>
      <c r="E97" s="7">
        <f t="shared" si="62"/>
        <v>-11</v>
      </c>
      <c r="F97" s="7">
        <f t="shared" si="62"/>
        <v>-1</v>
      </c>
      <c r="G97" s="7">
        <f t="shared" si="62"/>
        <v>-15</v>
      </c>
      <c r="H97" s="7">
        <f t="shared" si="62"/>
        <v>-14</v>
      </c>
      <c r="I97" s="7">
        <f t="shared" si="62"/>
        <v>-5</v>
      </c>
      <c r="J97" s="7">
        <f t="shared" si="62"/>
        <v>8</v>
      </c>
      <c r="K97" s="7">
        <f t="shared" si="62"/>
        <v>-22</v>
      </c>
      <c r="L97" s="7">
        <f t="shared" si="62"/>
        <v>11</v>
      </c>
      <c r="M97" s="7">
        <f t="shared" si="62"/>
        <v>-4</v>
      </c>
      <c r="N97" s="7">
        <f t="shared" si="62"/>
        <v>-11</v>
      </c>
      <c r="O97" s="7">
        <f t="shared" si="62"/>
        <v>10</v>
      </c>
      <c r="P97" s="7">
        <f t="shared" si="62"/>
        <v>-4</v>
      </c>
      <c r="Q97" s="7">
        <f t="shared" si="62"/>
        <v>-7</v>
      </c>
      <c r="R97" s="7">
        <f t="shared" si="62"/>
        <v>16</v>
      </c>
      <c r="S97" s="7">
        <f t="shared" si="62"/>
        <v>-12</v>
      </c>
      <c r="T97" s="7">
        <f t="shared" si="62"/>
        <v>163</v>
      </c>
      <c r="U97" s="7">
        <f t="shared" si="62"/>
        <v>40</v>
      </c>
      <c r="V97" s="7">
        <f t="shared" si="62"/>
        <v>27</v>
      </c>
      <c r="W97" s="7">
        <f t="shared" si="62"/>
        <v>9</v>
      </c>
      <c r="X97" s="7">
        <f t="shared" si="62"/>
        <v>-178</v>
      </c>
      <c r="Y97" s="7">
        <f t="shared" si="62"/>
        <v>20</v>
      </c>
      <c r="Z97" s="7">
        <f t="shared" si="62"/>
        <v>51</v>
      </c>
      <c r="AA97" s="7">
        <f t="shared" si="62"/>
        <v>15</v>
      </c>
      <c r="AB97" s="7">
        <f t="shared" si="62"/>
        <v>95</v>
      </c>
      <c r="AC97" s="7">
        <f t="shared" si="62"/>
        <v>-6</v>
      </c>
      <c r="AD97" s="7">
        <f t="shared" si="62"/>
        <v>28</v>
      </c>
      <c r="AE97" s="7">
        <f t="shared" si="62"/>
        <v>15</v>
      </c>
      <c r="AF97" s="7">
        <f t="shared" si="62"/>
        <v>25</v>
      </c>
      <c r="AG97" s="7">
        <f t="shared" si="62"/>
        <v>-16</v>
      </c>
      <c r="AH97" s="7">
        <f t="shared" si="62"/>
        <v>8</v>
      </c>
      <c r="AI97" s="7">
        <f t="shared" ref="AI97:BN97" si="63">AJ24-AI23+AJ47-AJ72</f>
        <v>-66</v>
      </c>
      <c r="AJ97" s="7">
        <f t="shared" si="63"/>
        <v>-38</v>
      </c>
      <c r="AK97" s="7">
        <f t="shared" si="63"/>
        <v>21</v>
      </c>
      <c r="AL97" s="7">
        <f t="shared" si="63"/>
        <v>-15</v>
      </c>
      <c r="AM97" s="7">
        <f t="shared" si="63"/>
        <v>10</v>
      </c>
      <c r="AN97" s="7">
        <f t="shared" si="63"/>
        <v>-34</v>
      </c>
      <c r="AO97" s="7">
        <f t="shared" si="63"/>
        <v>2</v>
      </c>
      <c r="AP97" s="7">
        <f t="shared" si="63"/>
        <v>29</v>
      </c>
      <c r="AQ97" s="7">
        <f t="shared" si="63"/>
        <v>-46</v>
      </c>
      <c r="AR97" s="7">
        <f t="shared" si="63"/>
        <v>-5</v>
      </c>
      <c r="AS97" s="7">
        <f t="shared" si="63"/>
        <v>-30</v>
      </c>
      <c r="AT97" s="7">
        <f t="shared" si="63"/>
        <v>14</v>
      </c>
      <c r="AU97" s="7">
        <f t="shared" si="63"/>
        <v>1</v>
      </c>
      <c r="AV97" s="7">
        <f t="shared" si="63"/>
        <v>8</v>
      </c>
      <c r="AW97" s="7">
        <f t="shared" si="63"/>
        <v>-7</v>
      </c>
      <c r="AX97" s="7">
        <f t="shared" si="63"/>
        <v>-13</v>
      </c>
      <c r="AY97" s="7">
        <f t="shared" si="63"/>
        <v>-9</v>
      </c>
      <c r="AZ97" s="7">
        <f t="shared" si="63"/>
        <v>7</v>
      </c>
      <c r="BA97" s="7">
        <f t="shared" si="63"/>
        <v>-24</v>
      </c>
      <c r="BB97" s="7">
        <f t="shared" si="63"/>
        <v>13</v>
      </c>
      <c r="BC97" s="7">
        <f t="shared" si="63"/>
        <v>6</v>
      </c>
      <c r="BD97" s="7">
        <f t="shared" si="63"/>
        <v>6</v>
      </c>
      <c r="BE97" s="7">
        <f t="shared" si="63"/>
        <v>8</v>
      </c>
      <c r="BF97" s="7">
        <f t="shared" si="63"/>
        <v>-8</v>
      </c>
      <c r="BG97" s="7">
        <f t="shared" si="63"/>
        <v>6</v>
      </c>
      <c r="BH97" s="7">
        <f t="shared" si="63"/>
        <v>-10</v>
      </c>
      <c r="BI97" s="7">
        <f t="shared" si="63"/>
        <v>4</v>
      </c>
      <c r="BJ97" s="7">
        <f t="shared" si="63"/>
        <v>-1</v>
      </c>
      <c r="BK97" s="7">
        <f t="shared" si="63"/>
        <v>-2</v>
      </c>
      <c r="BL97" s="7">
        <f t="shared" si="63"/>
        <v>-7</v>
      </c>
      <c r="BM97" s="7">
        <f t="shared" si="63"/>
        <v>6</v>
      </c>
      <c r="BN97" s="7">
        <f t="shared" si="63"/>
        <v>8</v>
      </c>
      <c r="BO97" s="7">
        <f t="shared" ref="BO97:CY97" si="64">BP24-BO23+BP47-BP72</f>
        <v>3</v>
      </c>
      <c r="BP97" s="7">
        <f t="shared" si="64"/>
        <v>7</v>
      </c>
      <c r="BQ97" s="7">
        <f t="shared" si="64"/>
        <v>-10</v>
      </c>
      <c r="BR97" s="7">
        <f t="shared" si="64"/>
        <v>8</v>
      </c>
      <c r="BS97" s="7">
        <f t="shared" si="64"/>
        <v>-7</v>
      </c>
      <c r="BT97" s="7">
        <f t="shared" si="64"/>
        <v>14</v>
      </c>
      <c r="BU97" s="7">
        <f t="shared" si="64"/>
        <v>-3</v>
      </c>
      <c r="BV97" s="7">
        <f t="shared" si="64"/>
        <v>-6</v>
      </c>
      <c r="BW97" s="7">
        <f t="shared" si="64"/>
        <v>1</v>
      </c>
      <c r="BX97" s="7">
        <f t="shared" si="64"/>
        <v>3</v>
      </c>
      <c r="BY97" s="7">
        <f t="shared" si="64"/>
        <v>8</v>
      </c>
      <c r="BZ97" s="7">
        <f t="shared" si="64"/>
        <v>-4</v>
      </c>
      <c r="CA97" s="7">
        <f t="shared" si="64"/>
        <v>-6</v>
      </c>
      <c r="CB97" s="7">
        <f t="shared" si="64"/>
        <v>9</v>
      </c>
      <c r="CC97" s="7">
        <f t="shared" si="64"/>
        <v>-4</v>
      </c>
      <c r="CD97" s="7">
        <f t="shared" si="64"/>
        <v>-2</v>
      </c>
      <c r="CE97" s="7">
        <f t="shared" si="64"/>
        <v>-4</v>
      </c>
      <c r="CF97" s="7">
        <f t="shared" si="64"/>
        <v>-2</v>
      </c>
      <c r="CG97" s="7">
        <f t="shared" si="64"/>
        <v>0</v>
      </c>
      <c r="CH97" s="7">
        <f t="shared" si="64"/>
        <v>-2</v>
      </c>
      <c r="CI97" s="7">
        <f t="shared" si="64"/>
        <v>2</v>
      </c>
      <c r="CJ97" s="7">
        <f t="shared" si="64"/>
        <v>2</v>
      </c>
      <c r="CK97" s="7">
        <f t="shared" si="64"/>
        <v>-4</v>
      </c>
      <c r="CL97" s="7">
        <f t="shared" si="64"/>
        <v>-3</v>
      </c>
      <c r="CM97" s="7">
        <f t="shared" si="64"/>
        <v>2</v>
      </c>
      <c r="CN97" s="7">
        <f t="shared" si="64"/>
        <v>-2</v>
      </c>
      <c r="CO97" s="7">
        <f t="shared" si="64"/>
        <v>1</v>
      </c>
      <c r="CP97" s="7">
        <f t="shared" si="64"/>
        <v>-1</v>
      </c>
      <c r="CQ97" s="7">
        <f t="shared" si="64"/>
        <v>0</v>
      </c>
      <c r="CR97" s="7">
        <f t="shared" si="64"/>
        <v>0</v>
      </c>
      <c r="CS97" s="7">
        <f t="shared" si="64"/>
        <v>1</v>
      </c>
      <c r="CT97" s="7">
        <f t="shared" si="64"/>
        <v>-2</v>
      </c>
      <c r="CU97" s="7">
        <f t="shared" si="64"/>
        <v>-2</v>
      </c>
      <c r="CV97" s="7">
        <f t="shared" si="64"/>
        <v>0</v>
      </c>
      <c r="CW97" s="7">
        <f t="shared" si="64"/>
        <v>0</v>
      </c>
      <c r="CX97" s="7">
        <f t="shared" si="64"/>
        <v>0</v>
      </c>
      <c r="CY97" s="7">
        <f t="shared" si="64"/>
        <v>1</v>
      </c>
      <c r="CZ97" s="7" t="s">
        <v>32</v>
      </c>
    </row>
    <row r="98" spans="1:105" x14ac:dyDescent="0.3">
      <c r="A98" s="10">
        <v>2022</v>
      </c>
      <c r="C98" s="7">
        <f t="shared" ref="C98:AH98" si="65">D25-C24+D48-D73</f>
        <v>14</v>
      </c>
      <c r="D98" s="7">
        <f t="shared" si="65"/>
        <v>26</v>
      </c>
      <c r="E98" s="7">
        <f t="shared" si="65"/>
        <v>2</v>
      </c>
      <c r="F98" s="7">
        <f t="shared" si="65"/>
        <v>11</v>
      </c>
      <c r="G98" s="7">
        <f t="shared" si="65"/>
        <v>-18</v>
      </c>
      <c r="H98" s="7">
        <f t="shared" si="65"/>
        <v>-4</v>
      </c>
      <c r="I98" s="7">
        <f t="shared" si="65"/>
        <v>-5</v>
      </c>
      <c r="J98" s="7">
        <f t="shared" si="65"/>
        <v>-4</v>
      </c>
      <c r="K98" s="7">
        <f t="shared" si="65"/>
        <v>-10</v>
      </c>
      <c r="L98" s="7">
        <f t="shared" si="65"/>
        <v>-5</v>
      </c>
      <c r="M98" s="7">
        <f t="shared" si="65"/>
        <v>-2</v>
      </c>
      <c r="N98" s="7">
        <f t="shared" si="65"/>
        <v>-11</v>
      </c>
      <c r="O98" s="7">
        <f t="shared" si="65"/>
        <v>-2</v>
      </c>
      <c r="P98" s="7">
        <f t="shared" si="65"/>
        <v>3</v>
      </c>
      <c r="Q98" s="7">
        <f t="shared" si="65"/>
        <v>8</v>
      </c>
      <c r="R98" s="7">
        <f t="shared" si="65"/>
        <v>-9</v>
      </c>
      <c r="S98" s="7">
        <f t="shared" si="65"/>
        <v>-14</v>
      </c>
      <c r="T98" s="7">
        <f t="shared" si="65"/>
        <v>15</v>
      </c>
      <c r="U98" s="7">
        <f t="shared" si="65"/>
        <v>13</v>
      </c>
      <c r="V98" s="7">
        <f t="shared" si="65"/>
        <v>1</v>
      </c>
      <c r="W98" s="7">
        <f t="shared" si="65"/>
        <v>-7</v>
      </c>
      <c r="X98" s="7">
        <f t="shared" si="65"/>
        <v>-6</v>
      </c>
      <c r="Y98" s="7">
        <f t="shared" si="65"/>
        <v>-2</v>
      </c>
      <c r="Z98" s="7">
        <f t="shared" si="65"/>
        <v>11</v>
      </c>
      <c r="AA98" s="7">
        <f t="shared" si="65"/>
        <v>20</v>
      </c>
      <c r="AB98" s="7">
        <f t="shared" si="65"/>
        <v>-2</v>
      </c>
      <c r="AC98" s="7">
        <f t="shared" si="65"/>
        <v>30</v>
      </c>
      <c r="AD98" s="7">
        <f t="shared" si="65"/>
        <v>-13</v>
      </c>
      <c r="AE98" s="7">
        <f t="shared" si="65"/>
        <v>-24</v>
      </c>
      <c r="AF98" s="7">
        <f t="shared" si="65"/>
        <v>34</v>
      </c>
      <c r="AG98" s="7">
        <f t="shared" si="65"/>
        <v>-24</v>
      </c>
      <c r="AH98" s="7">
        <f t="shared" si="65"/>
        <v>-9</v>
      </c>
      <c r="AI98" s="7">
        <f t="shared" ref="AI98:BN98" si="66">AJ25-AI24+AJ48-AJ73</f>
        <v>-18</v>
      </c>
      <c r="AJ98" s="7">
        <f t="shared" si="66"/>
        <v>-29</v>
      </c>
      <c r="AK98" s="7">
        <f t="shared" si="66"/>
        <v>-3</v>
      </c>
      <c r="AL98" s="7">
        <f t="shared" si="66"/>
        <v>4</v>
      </c>
      <c r="AM98" s="7">
        <f t="shared" si="66"/>
        <v>-23</v>
      </c>
      <c r="AN98" s="7">
        <f t="shared" si="66"/>
        <v>5</v>
      </c>
      <c r="AO98" s="7">
        <f t="shared" si="66"/>
        <v>2</v>
      </c>
      <c r="AP98" s="7">
        <f t="shared" si="66"/>
        <v>-1</v>
      </c>
      <c r="AQ98" s="7">
        <f t="shared" si="66"/>
        <v>-19</v>
      </c>
      <c r="AR98" s="7">
        <f t="shared" si="66"/>
        <v>5</v>
      </c>
      <c r="AS98" s="7">
        <f t="shared" si="66"/>
        <v>-8</v>
      </c>
      <c r="AT98" s="7">
        <f t="shared" si="66"/>
        <v>-14</v>
      </c>
      <c r="AU98" s="7">
        <f t="shared" si="66"/>
        <v>2</v>
      </c>
      <c r="AV98" s="7">
        <f t="shared" si="66"/>
        <v>5</v>
      </c>
      <c r="AW98" s="7">
        <f t="shared" si="66"/>
        <v>9</v>
      </c>
      <c r="AX98" s="7">
        <f t="shared" si="66"/>
        <v>-11</v>
      </c>
      <c r="AY98" s="7">
        <f t="shared" si="66"/>
        <v>5</v>
      </c>
      <c r="AZ98" s="7">
        <f t="shared" si="66"/>
        <v>-4</v>
      </c>
      <c r="BA98" s="7">
        <f t="shared" si="66"/>
        <v>-12</v>
      </c>
      <c r="BB98" s="7">
        <f t="shared" si="66"/>
        <v>1</v>
      </c>
      <c r="BC98" s="7">
        <f t="shared" si="66"/>
        <v>-5</v>
      </c>
      <c r="BD98" s="7">
        <f t="shared" si="66"/>
        <v>-6</v>
      </c>
      <c r="BE98" s="7">
        <f t="shared" si="66"/>
        <v>23</v>
      </c>
      <c r="BF98" s="7">
        <f t="shared" si="66"/>
        <v>-13</v>
      </c>
      <c r="BG98" s="7">
        <f t="shared" si="66"/>
        <v>0</v>
      </c>
      <c r="BH98" s="7">
        <f t="shared" si="66"/>
        <v>2</v>
      </c>
      <c r="BI98" s="7">
        <f t="shared" si="66"/>
        <v>9</v>
      </c>
      <c r="BJ98" s="7">
        <f t="shared" si="66"/>
        <v>-4</v>
      </c>
      <c r="BK98" s="7">
        <f t="shared" si="66"/>
        <v>-2</v>
      </c>
      <c r="BL98" s="7">
        <f t="shared" si="66"/>
        <v>1</v>
      </c>
      <c r="BM98" s="7">
        <f t="shared" si="66"/>
        <v>3</v>
      </c>
      <c r="BN98" s="7">
        <f t="shared" si="66"/>
        <v>-8</v>
      </c>
      <c r="BO98" s="7">
        <f t="shared" ref="BO98:CY98" si="67">BP25-BO24+BP48-BP73</f>
        <v>1</v>
      </c>
      <c r="BP98" s="7">
        <f t="shared" si="67"/>
        <v>4</v>
      </c>
      <c r="BQ98" s="7">
        <f t="shared" si="67"/>
        <v>-3</v>
      </c>
      <c r="BR98" s="7">
        <f t="shared" si="67"/>
        <v>-3</v>
      </c>
      <c r="BS98" s="7">
        <f t="shared" si="67"/>
        <v>1</v>
      </c>
      <c r="BT98" s="7">
        <f t="shared" si="67"/>
        <v>-10</v>
      </c>
      <c r="BU98" s="7">
        <f t="shared" si="67"/>
        <v>7</v>
      </c>
      <c r="BV98" s="7">
        <f t="shared" si="67"/>
        <v>-5</v>
      </c>
      <c r="BW98" s="7">
        <f t="shared" si="67"/>
        <v>-1</v>
      </c>
      <c r="BX98" s="7">
        <f t="shared" si="67"/>
        <v>-2</v>
      </c>
      <c r="BY98" s="7">
        <f t="shared" si="67"/>
        <v>-3</v>
      </c>
      <c r="BZ98" s="7">
        <f t="shared" si="67"/>
        <v>-1</v>
      </c>
      <c r="CA98" s="7">
        <f t="shared" si="67"/>
        <v>-2</v>
      </c>
      <c r="CB98" s="7">
        <f t="shared" si="67"/>
        <v>0</v>
      </c>
      <c r="CC98" s="7">
        <f t="shared" si="67"/>
        <v>0</v>
      </c>
      <c r="CD98" s="7">
        <f t="shared" si="67"/>
        <v>-1</v>
      </c>
      <c r="CE98" s="7">
        <f t="shared" si="67"/>
        <v>1</v>
      </c>
      <c r="CF98" s="7">
        <f t="shared" si="67"/>
        <v>0</v>
      </c>
      <c r="CG98" s="7">
        <f t="shared" si="67"/>
        <v>-1</v>
      </c>
      <c r="CH98" s="7">
        <f t="shared" si="67"/>
        <v>-6</v>
      </c>
      <c r="CI98" s="7">
        <f t="shared" si="67"/>
        <v>4</v>
      </c>
      <c r="CJ98" s="7">
        <f t="shared" si="67"/>
        <v>-6</v>
      </c>
      <c r="CK98" s="7">
        <f t="shared" si="67"/>
        <v>-3</v>
      </c>
      <c r="CL98" s="7">
        <f t="shared" si="67"/>
        <v>1</v>
      </c>
      <c r="CM98" s="7">
        <f t="shared" si="67"/>
        <v>-4</v>
      </c>
      <c r="CN98" s="7">
        <f t="shared" si="67"/>
        <v>1</v>
      </c>
      <c r="CO98" s="7">
        <f t="shared" si="67"/>
        <v>-1</v>
      </c>
      <c r="CP98" s="7">
        <f t="shared" si="67"/>
        <v>-3</v>
      </c>
      <c r="CQ98" s="7">
        <f t="shared" si="67"/>
        <v>-1</v>
      </c>
      <c r="CR98" s="7">
        <f t="shared" si="67"/>
        <v>-5</v>
      </c>
      <c r="CS98" s="7">
        <f t="shared" si="67"/>
        <v>0</v>
      </c>
      <c r="CT98" s="7">
        <f t="shared" si="67"/>
        <v>3</v>
      </c>
      <c r="CU98" s="7">
        <f t="shared" si="67"/>
        <v>-5</v>
      </c>
      <c r="CV98" s="7">
        <f t="shared" si="67"/>
        <v>0</v>
      </c>
      <c r="CW98" s="7">
        <f t="shared" si="67"/>
        <v>0</v>
      </c>
      <c r="CX98" s="7">
        <f t="shared" si="67"/>
        <v>0</v>
      </c>
      <c r="CY98" s="7">
        <f t="shared" si="67"/>
        <v>0</v>
      </c>
    </row>
    <row r="99" spans="1:105" x14ac:dyDescent="0.3">
      <c r="B99" t="s">
        <v>22</v>
      </c>
      <c r="C99" s="13">
        <f t="shared" ref="C99:BO99" si="68">AVERAGE(C79:C98)</f>
        <v>-43.15</v>
      </c>
      <c r="D99" s="13">
        <f t="shared" si="68"/>
        <v>0.3</v>
      </c>
      <c r="E99" s="13">
        <f t="shared" si="68"/>
        <v>3.15</v>
      </c>
      <c r="F99" s="13">
        <f t="shared" si="68"/>
        <v>-2.95</v>
      </c>
      <c r="G99" s="13">
        <f t="shared" si="68"/>
        <v>-7</v>
      </c>
      <c r="H99" s="13">
        <f t="shared" si="68"/>
        <v>-2.5499999999999998</v>
      </c>
      <c r="I99" s="13">
        <f t="shared" si="68"/>
        <v>-0.9</v>
      </c>
      <c r="J99" s="13">
        <f t="shared" si="68"/>
        <v>-4.55</v>
      </c>
      <c r="K99" s="13">
        <f t="shared" si="68"/>
        <v>-2.15</v>
      </c>
      <c r="L99" s="13">
        <f t="shared" si="68"/>
        <v>-1.1000000000000001</v>
      </c>
      <c r="M99" s="13">
        <f t="shared" si="68"/>
        <v>-1.35</v>
      </c>
      <c r="N99" s="13">
        <f t="shared" si="68"/>
        <v>-1.65</v>
      </c>
      <c r="O99" s="13">
        <f t="shared" si="68"/>
        <v>0.8</v>
      </c>
      <c r="P99" s="13">
        <f t="shared" si="68"/>
        <v>-0.1</v>
      </c>
      <c r="Q99" s="13">
        <f t="shared" si="68"/>
        <v>-3.6</v>
      </c>
      <c r="R99" s="13">
        <f t="shared" si="68"/>
        <v>2.35</v>
      </c>
      <c r="S99" s="13">
        <f t="shared" si="68"/>
        <v>7.55</v>
      </c>
      <c r="T99" s="13">
        <f t="shared" si="68"/>
        <v>28.9</v>
      </c>
      <c r="U99" s="13">
        <f t="shared" si="68"/>
        <v>16.399999999999999</v>
      </c>
      <c r="V99" s="13">
        <f t="shared" si="68"/>
        <v>5.55</v>
      </c>
      <c r="W99" s="13">
        <f t="shared" si="68"/>
        <v>23.25</v>
      </c>
      <c r="X99" s="13">
        <f t="shared" si="68"/>
        <v>11.25</v>
      </c>
      <c r="Y99" s="13">
        <f t="shared" si="68"/>
        <v>17.55</v>
      </c>
      <c r="Z99" s="13">
        <f t="shared" si="68"/>
        <v>18.8</v>
      </c>
      <c r="AA99" s="13">
        <f t="shared" si="68"/>
        <v>16.55</v>
      </c>
      <c r="AB99" s="13">
        <f t="shared" si="68"/>
        <v>11.45</v>
      </c>
      <c r="AC99" s="13">
        <f t="shared" si="68"/>
        <v>9.9</v>
      </c>
      <c r="AD99" s="13">
        <f t="shared" si="68"/>
        <v>0.95</v>
      </c>
      <c r="AE99" s="13">
        <f t="shared" si="68"/>
        <v>-0.85</v>
      </c>
      <c r="AF99" s="13">
        <f t="shared" si="68"/>
        <v>0.05</v>
      </c>
      <c r="AG99" s="13">
        <f t="shared" si="68"/>
        <v>-6.9</v>
      </c>
      <c r="AH99" s="13">
        <f t="shared" si="68"/>
        <v>-21.8</v>
      </c>
      <c r="AI99" s="13">
        <f t="shared" si="68"/>
        <v>-25.1</v>
      </c>
      <c r="AJ99" s="13">
        <f t="shared" si="68"/>
        <v>-4.75</v>
      </c>
      <c r="AK99" s="13">
        <f t="shared" si="68"/>
        <v>-8</v>
      </c>
      <c r="AL99" s="13">
        <f t="shared" si="68"/>
        <v>-7.55</v>
      </c>
      <c r="AM99" s="13">
        <f t="shared" si="68"/>
        <v>-4.3499999999999996</v>
      </c>
      <c r="AN99" s="13">
        <f t="shared" si="68"/>
        <v>-6.5</v>
      </c>
      <c r="AO99" s="13">
        <f t="shared" si="68"/>
        <v>-7.35</v>
      </c>
      <c r="AP99" s="13">
        <f t="shared" si="68"/>
        <v>-2.5</v>
      </c>
      <c r="AQ99" s="13">
        <f t="shared" si="68"/>
        <v>-4.2</v>
      </c>
      <c r="AR99" s="13">
        <f t="shared" si="68"/>
        <v>-0.25</v>
      </c>
      <c r="AS99" s="13">
        <f t="shared" si="68"/>
        <v>-10.050000000000001</v>
      </c>
      <c r="AT99" s="13">
        <f t="shared" si="68"/>
        <v>-0.3</v>
      </c>
      <c r="AU99" s="13">
        <f t="shared" si="68"/>
        <v>-0.95</v>
      </c>
      <c r="AV99" s="13">
        <f t="shared" si="68"/>
        <v>-1</v>
      </c>
      <c r="AW99" s="13">
        <f t="shared" si="68"/>
        <v>-0.85</v>
      </c>
      <c r="AX99" s="13">
        <f t="shared" si="68"/>
        <v>0.85</v>
      </c>
      <c r="AY99" s="13">
        <f t="shared" si="68"/>
        <v>-3.95</v>
      </c>
      <c r="AZ99" s="13">
        <f t="shared" si="68"/>
        <v>-1.45</v>
      </c>
      <c r="BA99" s="13">
        <f t="shared" si="68"/>
        <v>-3.35</v>
      </c>
      <c r="BB99" s="13">
        <f t="shared" si="68"/>
        <v>2.35</v>
      </c>
      <c r="BC99" s="13">
        <f t="shared" si="68"/>
        <v>0.3</v>
      </c>
      <c r="BD99" s="13">
        <f t="shared" si="68"/>
        <v>0.05</v>
      </c>
      <c r="BE99" s="13">
        <f t="shared" si="68"/>
        <v>1.95</v>
      </c>
      <c r="BF99" s="13">
        <f t="shared" si="68"/>
        <v>-0.9</v>
      </c>
      <c r="BG99" s="13">
        <f t="shared" si="68"/>
        <v>0.95</v>
      </c>
      <c r="BH99" s="13">
        <f t="shared" si="68"/>
        <v>-1.65</v>
      </c>
      <c r="BI99" s="13">
        <f t="shared" si="68"/>
        <v>0.7</v>
      </c>
      <c r="BJ99" s="13">
        <f t="shared" si="68"/>
        <v>1.6</v>
      </c>
      <c r="BK99" s="13">
        <f t="shared" si="68"/>
        <v>-0.05</v>
      </c>
      <c r="BL99" s="13">
        <f t="shared" si="68"/>
        <v>-0.05</v>
      </c>
      <c r="BM99" s="13">
        <f t="shared" si="68"/>
        <v>0.4</v>
      </c>
      <c r="BN99" s="13">
        <f t="shared" si="68"/>
        <v>-0.15</v>
      </c>
      <c r="BO99" s="13">
        <f t="shared" si="68"/>
        <v>-0.5</v>
      </c>
      <c r="BP99" s="13">
        <f t="shared" ref="BP99:CY99" si="69">AVERAGE(BP79:BP98)</f>
        <v>1.55</v>
      </c>
      <c r="BQ99" s="13">
        <f t="shared" si="69"/>
        <v>-1.05</v>
      </c>
      <c r="BR99" s="13">
        <f t="shared" si="69"/>
        <v>0.1</v>
      </c>
      <c r="BS99" s="13">
        <f t="shared" si="69"/>
        <v>-1.6</v>
      </c>
      <c r="BT99" s="13">
        <f t="shared" si="69"/>
        <v>1.05</v>
      </c>
      <c r="BU99" s="13">
        <f t="shared" si="69"/>
        <v>-0.25</v>
      </c>
      <c r="BV99" s="13">
        <f t="shared" si="69"/>
        <v>0.2</v>
      </c>
      <c r="BW99" s="13">
        <f t="shared" si="69"/>
        <v>-0.6</v>
      </c>
      <c r="BX99" s="13">
        <f t="shared" si="69"/>
        <v>-1.5</v>
      </c>
      <c r="BY99" s="13">
        <f t="shared" si="69"/>
        <v>1</v>
      </c>
      <c r="BZ99" s="13">
        <f t="shared" si="69"/>
        <v>-0.55000000000000004</v>
      </c>
      <c r="CA99" s="13">
        <f t="shared" si="69"/>
        <v>-0.6</v>
      </c>
      <c r="CB99" s="13">
        <f t="shared" si="69"/>
        <v>1.75</v>
      </c>
      <c r="CC99" s="13">
        <f t="shared" si="69"/>
        <v>-0.05</v>
      </c>
      <c r="CD99" s="13">
        <f t="shared" si="69"/>
        <v>-0.05</v>
      </c>
      <c r="CE99" s="13">
        <f t="shared" si="69"/>
        <v>0.55000000000000004</v>
      </c>
      <c r="CF99" s="13">
        <f t="shared" si="69"/>
        <v>0.6</v>
      </c>
      <c r="CG99" s="13">
        <f t="shared" si="69"/>
        <v>-0.35</v>
      </c>
      <c r="CH99" s="13">
        <f t="shared" si="69"/>
        <v>-0.9</v>
      </c>
      <c r="CI99" s="13">
        <f t="shared" si="69"/>
        <v>-0.8</v>
      </c>
      <c r="CJ99" s="13">
        <f t="shared" si="69"/>
        <v>1.75</v>
      </c>
      <c r="CK99" s="13">
        <f t="shared" si="69"/>
        <v>-0.65</v>
      </c>
      <c r="CL99" s="13">
        <f t="shared" si="69"/>
        <v>-1.35</v>
      </c>
      <c r="CM99" s="13">
        <f t="shared" si="69"/>
        <v>0.7</v>
      </c>
      <c r="CN99" s="13">
        <f t="shared" si="69"/>
        <v>-0.65</v>
      </c>
      <c r="CO99" s="13">
        <f t="shared" si="69"/>
        <v>-0.35</v>
      </c>
      <c r="CP99" s="13">
        <f t="shared" si="69"/>
        <v>0.45</v>
      </c>
      <c r="CQ99" s="13">
        <f t="shared" si="69"/>
        <v>-0.55000000000000004</v>
      </c>
      <c r="CR99" s="13">
        <f t="shared" si="69"/>
        <v>-0.55000000000000004</v>
      </c>
      <c r="CS99" s="13">
        <f t="shared" si="69"/>
        <v>-0.65</v>
      </c>
      <c r="CT99" s="13">
        <f t="shared" si="69"/>
        <v>-0.55000000000000004</v>
      </c>
      <c r="CU99" s="13">
        <f t="shared" si="69"/>
        <v>-0.75</v>
      </c>
      <c r="CV99" s="13">
        <f t="shared" si="69"/>
        <v>-0.55000000000000004</v>
      </c>
      <c r="CW99" s="13">
        <f t="shared" si="69"/>
        <v>-0.6</v>
      </c>
      <c r="CX99" s="13">
        <f t="shared" si="69"/>
        <v>-0.45</v>
      </c>
      <c r="CY99" s="13">
        <f t="shared" si="69"/>
        <v>-0.2</v>
      </c>
      <c r="CZ99" s="7">
        <v>-19</v>
      </c>
      <c r="DA99" s="7" t="s">
        <v>31</v>
      </c>
    </row>
    <row r="100" spans="1:105" s="8" customFormat="1" x14ac:dyDescent="0.3">
      <c r="B100" s="8" t="s">
        <v>23</v>
      </c>
      <c r="C100" s="8">
        <f t="shared" ref="C100:BO100" si="70">MEDIAN(C79:C98)</f>
        <v>-15</v>
      </c>
      <c r="D100" s="8">
        <f t="shared" si="70"/>
        <v>0</v>
      </c>
      <c r="E100" s="8">
        <f t="shared" si="70"/>
        <v>2.5</v>
      </c>
      <c r="F100" s="8">
        <f t="shared" si="70"/>
        <v>-1.5</v>
      </c>
      <c r="G100" s="8">
        <f t="shared" si="70"/>
        <v>-5.5</v>
      </c>
      <c r="H100" s="8">
        <f t="shared" si="70"/>
        <v>-4.5</v>
      </c>
      <c r="I100" s="8">
        <f t="shared" si="70"/>
        <v>-0.5</v>
      </c>
      <c r="J100" s="8">
        <f t="shared" si="70"/>
        <v>-4.5</v>
      </c>
      <c r="K100" s="8">
        <f t="shared" si="70"/>
        <v>0.5</v>
      </c>
      <c r="L100" s="8">
        <f t="shared" si="70"/>
        <v>-2</v>
      </c>
      <c r="M100" s="8">
        <f t="shared" si="70"/>
        <v>-1.5</v>
      </c>
      <c r="N100" s="8">
        <f t="shared" si="70"/>
        <v>-0.5</v>
      </c>
      <c r="O100" s="8">
        <f>MEDIAN(O79:O98)</f>
        <v>0.5</v>
      </c>
      <c r="P100" s="8">
        <f t="shared" si="70"/>
        <v>-2.5</v>
      </c>
      <c r="Q100" s="8">
        <f t="shared" si="70"/>
        <v>-3.5</v>
      </c>
      <c r="R100" s="8">
        <f t="shared" si="70"/>
        <v>1.5</v>
      </c>
      <c r="S100" s="8">
        <f t="shared" si="70"/>
        <v>8.5</v>
      </c>
      <c r="T100" s="8">
        <f t="shared" si="70"/>
        <v>15.5</v>
      </c>
      <c r="U100" s="8">
        <f t="shared" si="70"/>
        <v>13.5</v>
      </c>
      <c r="V100" s="8">
        <f t="shared" si="70"/>
        <v>8</v>
      </c>
      <c r="W100" s="8">
        <f t="shared" si="70"/>
        <v>17</v>
      </c>
      <c r="X100" s="8">
        <f t="shared" si="70"/>
        <v>17</v>
      </c>
      <c r="Y100" s="8">
        <f t="shared" si="70"/>
        <v>19</v>
      </c>
      <c r="Z100" s="8">
        <f t="shared" si="70"/>
        <v>18.5</v>
      </c>
      <c r="AA100" s="8">
        <f t="shared" si="70"/>
        <v>13.5</v>
      </c>
      <c r="AB100" s="8">
        <f t="shared" si="70"/>
        <v>7.5</v>
      </c>
      <c r="AC100" s="8">
        <f t="shared" si="70"/>
        <v>8</v>
      </c>
      <c r="AD100" s="8">
        <f t="shared" si="70"/>
        <v>-4.5</v>
      </c>
      <c r="AE100" s="8">
        <f t="shared" si="70"/>
        <v>0.5</v>
      </c>
      <c r="AF100" s="8">
        <f t="shared" si="70"/>
        <v>2</v>
      </c>
      <c r="AG100" s="8">
        <f t="shared" si="70"/>
        <v>-6</v>
      </c>
      <c r="AH100" s="8">
        <f t="shared" si="70"/>
        <v>-17</v>
      </c>
      <c r="AI100" s="8">
        <f t="shared" si="70"/>
        <v>-20.5</v>
      </c>
      <c r="AJ100" s="8">
        <f t="shared" si="70"/>
        <v>-3</v>
      </c>
      <c r="AK100" s="8">
        <f t="shared" si="70"/>
        <v>-8.5</v>
      </c>
      <c r="AL100" s="8">
        <f t="shared" si="70"/>
        <v>-4.5</v>
      </c>
      <c r="AM100" s="8">
        <f t="shared" si="70"/>
        <v>-3</v>
      </c>
      <c r="AN100" s="8">
        <f t="shared" si="70"/>
        <v>-4.5</v>
      </c>
      <c r="AO100" s="8">
        <f t="shared" si="70"/>
        <v>-3.5</v>
      </c>
      <c r="AP100" s="8">
        <f t="shared" si="70"/>
        <v>-3.5</v>
      </c>
      <c r="AQ100" s="8">
        <f t="shared" si="70"/>
        <v>-2.5</v>
      </c>
      <c r="AR100" s="8">
        <f t="shared" si="70"/>
        <v>-2</v>
      </c>
      <c r="AS100" s="8">
        <f t="shared" si="70"/>
        <v>-11</v>
      </c>
      <c r="AT100" s="8">
        <f t="shared" si="70"/>
        <v>1</v>
      </c>
      <c r="AU100" s="8">
        <f t="shared" si="70"/>
        <v>-1</v>
      </c>
      <c r="AV100" s="8">
        <f t="shared" si="70"/>
        <v>-0.5</v>
      </c>
      <c r="AW100" s="8">
        <f t="shared" si="70"/>
        <v>-1</v>
      </c>
      <c r="AX100" s="8">
        <f t="shared" si="70"/>
        <v>0</v>
      </c>
      <c r="AY100" s="8">
        <f t="shared" si="70"/>
        <v>-4.5</v>
      </c>
      <c r="AZ100" s="8">
        <f t="shared" si="70"/>
        <v>0</v>
      </c>
      <c r="BA100" s="8">
        <f t="shared" si="70"/>
        <v>-3</v>
      </c>
      <c r="BB100" s="8">
        <f t="shared" si="70"/>
        <v>2</v>
      </c>
      <c r="BC100" s="8">
        <f t="shared" si="70"/>
        <v>-0.5</v>
      </c>
      <c r="BD100" s="8">
        <f t="shared" si="70"/>
        <v>-0.5</v>
      </c>
      <c r="BE100" s="8">
        <f t="shared" si="70"/>
        <v>1</v>
      </c>
      <c r="BF100" s="8">
        <f t="shared" si="70"/>
        <v>-0.5</v>
      </c>
      <c r="BG100" s="8">
        <f t="shared" si="70"/>
        <v>0</v>
      </c>
      <c r="BH100" s="8">
        <f t="shared" si="70"/>
        <v>0</v>
      </c>
      <c r="BI100" s="8">
        <f t="shared" si="70"/>
        <v>0.5</v>
      </c>
      <c r="BJ100" s="8">
        <f t="shared" si="70"/>
        <v>2</v>
      </c>
      <c r="BK100" s="8">
        <f t="shared" si="70"/>
        <v>-0.5</v>
      </c>
      <c r="BL100" s="8">
        <f t="shared" si="70"/>
        <v>-1</v>
      </c>
      <c r="BM100" s="8">
        <f t="shared" si="70"/>
        <v>1</v>
      </c>
      <c r="BN100" s="8">
        <f t="shared" si="70"/>
        <v>0</v>
      </c>
      <c r="BO100" s="8">
        <f t="shared" si="70"/>
        <v>1</v>
      </c>
      <c r="BP100" s="8">
        <f t="shared" ref="BP100:CZ100" si="71">MEDIAN(BP79:BP98)</f>
        <v>0.5</v>
      </c>
      <c r="BQ100" s="8">
        <f t="shared" si="71"/>
        <v>-1.5</v>
      </c>
      <c r="BR100" s="8">
        <f t="shared" si="71"/>
        <v>-1</v>
      </c>
      <c r="BS100" s="8">
        <f t="shared" si="71"/>
        <v>-2</v>
      </c>
      <c r="BT100" s="8">
        <f t="shared" si="71"/>
        <v>2</v>
      </c>
      <c r="BU100" s="8">
        <f t="shared" si="71"/>
        <v>-1</v>
      </c>
      <c r="BV100" s="8">
        <f t="shared" si="71"/>
        <v>1</v>
      </c>
      <c r="BW100" s="8">
        <f t="shared" si="71"/>
        <v>-1</v>
      </c>
      <c r="BX100" s="8">
        <f t="shared" si="71"/>
        <v>-2</v>
      </c>
      <c r="BY100" s="8">
        <f t="shared" si="71"/>
        <v>0</v>
      </c>
      <c r="BZ100" s="8">
        <f t="shared" si="71"/>
        <v>-1</v>
      </c>
      <c r="CA100" s="8">
        <f t="shared" si="71"/>
        <v>-1</v>
      </c>
      <c r="CB100" s="8">
        <f t="shared" si="71"/>
        <v>1</v>
      </c>
      <c r="CC100" s="8">
        <f t="shared" si="71"/>
        <v>0</v>
      </c>
      <c r="CD100" s="8">
        <f t="shared" si="71"/>
        <v>-0.5</v>
      </c>
      <c r="CE100" s="8">
        <f t="shared" si="71"/>
        <v>0.5</v>
      </c>
      <c r="CF100" s="8">
        <f t="shared" si="71"/>
        <v>0</v>
      </c>
      <c r="CG100" s="8">
        <f t="shared" si="71"/>
        <v>0.5</v>
      </c>
      <c r="CH100" s="8">
        <f t="shared" si="71"/>
        <v>-1</v>
      </c>
      <c r="CI100" s="8">
        <f t="shared" si="71"/>
        <v>-0.5</v>
      </c>
      <c r="CJ100" s="8">
        <f t="shared" si="71"/>
        <v>2</v>
      </c>
      <c r="CK100" s="8">
        <f t="shared" si="71"/>
        <v>-0.5</v>
      </c>
      <c r="CL100" s="8">
        <f t="shared" si="71"/>
        <v>-1</v>
      </c>
      <c r="CM100" s="8">
        <f t="shared" si="71"/>
        <v>0.5</v>
      </c>
      <c r="CN100" s="8">
        <f t="shared" si="71"/>
        <v>0</v>
      </c>
      <c r="CO100" s="8">
        <f t="shared" si="71"/>
        <v>-1</v>
      </c>
      <c r="CP100" s="8">
        <f t="shared" si="71"/>
        <v>1</v>
      </c>
      <c r="CQ100" s="8">
        <f t="shared" si="71"/>
        <v>0</v>
      </c>
      <c r="CR100" s="8">
        <f t="shared" si="71"/>
        <v>-0.5</v>
      </c>
      <c r="CS100" s="8">
        <f t="shared" si="71"/>
        <v>-1</v>
      </c>
      <c r="CT100" s="8">
        <f t="shared" si="71"/>
        <v>-0.5</v>
      </c>
      <c r="CU100" s="8">
        <f t="shared" si="71"/>
        <v>0</v>
      </c>
      <c r="CV100" s="8">
        <f t="shared" si="71"/>
        <v>-1</v>
      </c>
      <c r="CW100" s="8">
        <f t="shared" si="71"/>
        <v>-0.5</v>
      </c>
      <c r="CX100" s="8">
        <f t="shared" si="71"/>
        <v>0</v>
      </c>
      <c r="CY100" s="8">
        <f t="shared" si="71"/>
        <v>0</v>
      </c>
      <c r="CZ100" s="8" t="e">
        <f t="shared" si="71"/>
        <v>#NUM!</v>
      </c>
      <c r="DA100" s="8" t="s">
        <v>33</v>
      </c>
    </row>
    <row r="101" spans="1:105" s="8" customFormat="1" x14ac:dyDescent="0.3"/>
    <row r="102" spans="1:105" s="8" customFormat="1" x14ac:dyDescent="0.3">
      <c r="C102" s="8" t="s">
        <v>36</v>
      </c>
    </row>
    <row r="103" spans="1:105" x14ac:dyDescent="0.3">
      <c r="A103" s="8"/>
      <c r="B103" s="8" t="s">
        <v>37</v>
      </c>
      <c r="C103">
        <v>0</v>
      </c>
      <c r="D103">
        <v>1</v>
      </c>
      <c r="E103">
        <v>2</v>
      </c>
      <c r="F103" s="8">
        <v>3</v>
      </c>
      <c r="G103" s="8">
        <v>4</v>
      </c>
      <c r="H103" s="8">
        <v>5</v>
      </c>
      <c r="I103" s="8">
        <v>6</v>
      </c>
      <c r="J103" s="8">
        <v>7</v>
      </c>
      <c r="K103" s="8">
        <v>8</v>
      </c>
      <c r="L103" s="8">
        <v>9</v>
      </c>
      <c r="M103" s="8">
        <v>10</v>
      </c>
      <c r="N103" s="8">
        <v>11</v>
      </c>
      <c r="O103" s="8">
        <v>12</v>
      </c>
      <c r="P103" s="8">
        <v>13</v>
      </c>
      <c r="Q103" s="8">
        <v>14</v>
      </c>
      <c r="R103" s="8">
        <v>15</v>
      </c>
      <c r="S103" s="8">
        <v>16</v>
      </c>
      <c r="T103" s="8">
        <v>17</v>
      </c>
      <c r="U103" s="8">
        <v>18</v>
      </c>
      <c r="V103" s="8">
        <v>19</v>
      </c>
      <c r="W103" s="8">
        <v>20</v>
      </c>
      <c r="X103" s="8">
        <v>21</v>
      </c>
      <c r="Y103" s="8">
        <v>22</v>
      </c>
      <c r="Z103" s="8">
        <v>23</v>
      </c>
      <c r="AA103" s="8">
        <v>24</v>
      </c>
      <c r="AB103" s="8">
        <v>25</v>
      </c>
      <c r="AC103" s="8">
        <v>26</v>
      </c>
      <c r="AD103" s="8">
        <v>27</v>
      </c>
      <c r="AE103" s="8">
        <v>28</v>
      </c>
      <c r="AF103" s="8">
        <v>29</v>
      </c>
      <c r="AG103" s="8">
        <v>30</v>
      </c>
      <c r="AH103" s="8">
        <v>31</v>
      </c>
      <c r="AI103" s="8">
        <v>32</v>
      </c>
      <c r="AJ103" s="8">
        <v>33</v>
      </c>
      <c r="AK103" s="8">
        <v>34</v>
      </c>
      <c r="AL103" s="8">
        <v>35</v>
      </c>
      <c r="AM103" s="8">
        <v>36</v>
      </c>
      <c r="AN103" s="8">
        <v>37</v>
      </c>
      <c r="AO103" s="8">
        <v>38</v>
      </c>
      <c r="AP103" s="8">
        <v>39</v>
      </c>
      <c r="AQ103" s="8">
        <v>40</v>
      </c>
      <c r="AR103" s="8">
        <v>41</v>
      </c>
      <c r="AS103" s="8">
        <v>42</v>
      </c>
      <c r="AT103" s="8">
        <v>43</v>
      </c>
      <c r="AU103" s="8">
        <v>44</v>
      </c>
      <c r="AV103" s="8">
        <v>45</v>
      </c>
      <c r="AW103" s="8">
        <v>46</v>
      </c>
      <c r="AX103" s="8">
        <v>47</v>
      </c>
      <c r="AY103" s="8">
        <v>48</v>
      </c>
      <c r="AZ103" s="8">
        <v>49</v>
      </c>
      <c r="BA103" s="8">
        <v>50</v>
      </c>
      <c r="BB103" s="8">
        <v>51</v>
      </c>
      <c r="BC103" s="8">
        <v>52</v>
      </c>
      <c r="BD103" s="8">
        <v>53</v>
      </c>
      <c r="BE103" s="8">
        <v>54</v>
      </c>
      <c r="BF103" s="8">
        <v>55</v>
      </c>
      <c r="BG103" s="8">
        <v>56</v>
      </c>
      <c r="BH103" s="8">
        <v>57</v>
      </c>
      <c r="BI103" s="8">
        <v>58</v>
      </c>
      <c r="BJ103" s="8">
        <v>59</v>
      </c>
      <c r="BK103" s="8">
        <v>60</v>
      </c>
      <c r="BL103" s="8">
        <v>61</v>
      </c>
      <c r="BM103" s="8">
        <v>62</v>
      </c>
      <c r="BN103" s="8">
        <v>63</v>
      </c>
      <c r="BO103" s="8">
        <v>64</v>
      </c>
      <c r="BP103" s="8">
        <v>65</v>
      </c>
      <c r="BQ103" s="8">
        <v>66</v>
      </c>
      <c r="BR103" s="8">
        <v>67</v>
      </c>
      <c r="BS103" s="8">
        <v>68</v>
      </c>
      <c r="BT103" s="8">
        <v>69</v>
      </c>
      <c r="BU103" s="8">
        <v>70</v>
      </c>
      <c r="BV103" s="8">
        <v>71</v>
      </c>
      <c r="BW103" s="8">
        <v>72</v>
      </c>
      <c r="BX103" s="8">
        <v>73</v>
      </c>
      <c r="BY103" s="8">
        <v>74</v>
      </c>
      <c r="BZ103" s="8">
        <v>75</v>
      </c>
      <c r="CA103" s="8">
        <v>76</v>
      </c>
      <c r="CB103" s="8">
        <v>77</v>
      </c>
      <c r="CC103" s="8">
        <v>78</v>
      </c>
      <c r="CD103" s="8">
        <v>79</v>
      </c>
      <c r="CE103" s="8">
        <v>80</v>
      </c>
      <c r="CF103" s="8">
        <v>81</v>
      </c>
      <c r="CG103" s="8">
        <v>82</v>
      </c>
      <c r="CH103" s="8">
        <v>83</v>
      </c>
      <c r="CI103" s="8">
        <v>84</v>
      </c>
      <c r="CJ103" s="8">
        <v>85</v>
      </c>
      <c r="CK103" s="8">
        <v>86</v>
      </c>
      <c r="CL103" s="8">
        <v>87</v>
      </c>
      <c r="CM103" s="8">
        <v>88</v>
      </c>
      <c r="CN103" s="8">
        <v>89</v>
      </c>
      <c r="CO103" s="8">
        <v>90</v>
      </c>
      <c r="CP103" s="8">
        <v>91</v>
      </c>
      <c r="CQ103" s="8">
        <v>92</v>
      </c>
      <c r="CR103" s="8">
        <v>93</v>
      </c>
      <c r="CS103" s="8">
        <v>94</v>
      </c>
      <c r="CT103" s="8">
        <v>95</v>
      </c>
      <c r="CU103" s="8">
        <v>96</v>
      </c>
      <c r="CV103" s="8">
        <v>97</v>
      </c>
      <c r="CW103" s="8">
        <v>98</v>
      </c>
      <c r="CX103" s="8">
        <v>99</v>
      </c>
      <c r="CY103" s="8">
        <v>100</v>
      </c>
      <c r="CZ103" s="8"/>
    </row>
    <row r="104" spans="1:105" x14ac:dyDescent="0.3">
      <c r="A104" s="10">
        <v>2003</v>
      </c>
      <c r="B104" s="8"/>
      <c r="C104">
        <f t="shared" ref="C104:AH104" si="72">C79/C5</f>
        <v>9.5289464221503053E-4</v>
      </c>
      <c r="D104" s="8">
        <f t="shared" si="72"/>
        <v>1.0472300764477956E-4</v>
      </c>
      <c r="E104" s="8">
        <f t="shared" si="72"/>
        <v>-5.0030852358954692E-5</v>
      </c>
      <c r="F104" s="8">
        <f t="shared" si="72"/>
        <v>-1.4952649941850805E-4</v>
      </c>
      <c r="G104" s="8">
        <f t="shared" si="72"/>
        <v>-5.0397298704789424E-5</v>
      </c>
      <c r="H104" s="8">
        <f t="shared" si="72"/>
        <v>-1.962836953677048E-4</v>
      </c>
      <c r="I104" s="8">
        <f t="shared" si="72"/>
        <v>9.6023045530927429E-5</v>
      </c>
      <c r="J104" s="8">
        <f t="shared" si="72"/>
        <v>-1.7771746154840378E-4</v>
      </c>
      <c r="K104" s="8">
        <f t="shared" si="72"/>
        <v>-1.4600434768501994E-4</v>
      </c>
      <c r="L104" s="8">
        <f t="shared" si="72"/>
        <v>1.1406968027898185E-4</v>
      </c>
      <c r="M104" s="8">
        <f t="shared" si="72"/>
        <v>-1.1240104693546574E-4</v>
      </c>
      <c r="N104" s="8">
        <f t="shared" si="72"/>
        <v>3.1730921783277803E-5</v>
      </c>
      <c r="O104" s="8">
        <f t="shared" si="72"/>
        <v>-2.8541527923128151E-4</v>
      </c>
      <c r="P104" s="8">
        <f t="shared" si="72"/>
        <v>1.1418504502153204E-4</v>
      </c>
      <c r="Q104" s="8">
        <f t="shared" si="72"/>
        <v>-2.3516764093260768E-4</v>
      </c>
      <c r="R104" s="8">
        <f t="shared" si="72"/>
        <v>0</v>
      </c>
      <c r="S104" s="8">
        <f t="shared" si="72"/>
        <v>1.8149149712335977E-4</v>
      </c>
      <c r="T104" s="8">
        <f t="shared" si="72"/>
        <v>3.7093363997180905E-4</v>
      </c>
      <c r="U104" s="8">
        <f t="shared" si="72"/>
        <v>5.0610133273350949E-4</v>
      </c>
      <c r="V104" s="8">
        <f t="shared" si="72"/>
        <v>4.3113143885431505E-4</v>
      </c>
      <c r="W104" s="8">
        <f t="shared" si="72"/>
        <v>4.7698545194371572E-4</v>
      </c>
      <c r="X104" s="8">
        <f t="shared" si="72"/>
        <v>8.8591941824624871E-4</v>
      </c>
      <c r="Y104" s="8">
        <f t="shared" si="72"/>
        <v>4.5568051327853017E-4</v>
      </c>
      <c r="Z104" s="8">
        <f t="shared" si="72"/>
        <v>6.8464767670216027E-4</v>
      </c>
      <c r="AA104" s="8">
        <f t="shared" si="72"/>
        <v>-5.3708577259788386E-5</v>
      </c>
      <c r="AB104" s="8">
        <f t="shared" si="72"/>
        <v>-3.072307664504003E-4</v>
      </c>
      <c r="AC104" s="8">
        <f t="shared" si="72"/>
        <v>-2.2397960062714288E-4</v>
      </c>
      <c r="AD104" s="8">
        <f t="shared" si="72"/>
        <v>-1.6411737674785007E-4</v>
      </c>
      <c r="AE104" s="8">
        <f t="shared" si="72"/>
        <v>6.200492939188665E-5</v>
      </c>
      <c r="AF104" s="8">
        <f t="shared" si="72"/>
        <v>1.0614262536202216E-4</v>
      </c>
      <c r="AG104" s="8">
        <f t="shared" si="72"/>
        <v>-1.8877239857113814E-4</v>
      </c>
      <c r="AH104" s="8">
        <f t="shared" si="72"/>
        <v>-1.5729116023679469E-4</v>
      </c>
      <c r="AI104" s="8">
        <f t="shared" ref="AI104:BN104" si="73">AI79/AI5</f>
        <v>-4.6067690713041476E-4</v>
      </c>
      <c r="AJ104" s="8">
        <f t="shared" si="73"/>
        <v>-3.7483340737450022E-4</v>
      </c>
      <c r="AK104" s="8">
        <f t="shared" si="73"/>
        <v>-2.23267236928401E-4</v>
      </c>
      <c r="AL104" s="8">
        <f t="shared" si="73"/>
        <v>-3.1341710117673878E-4</v>
      </c>
      <c r="AM104" s="8">
        <f t="shared" si="73"/>
        <v>-2.4139497898443714E-4</v>
      </c>
      <c r="AN104" s="8">
        <f t="shared" si="73"/>
        <v>8.6174704851635885E-5</v>
      </c>
      <c r="AO104" s="8">
        <f t="shared" si="73"/>
        <v>7.2678644107215532E-5</v>
      </c>
      <c r="AP104" s="8">
        <f t="shared" si="73"/>
        <v>-2.5619000256190002E-4</v>
      </c>
      <c r="AQ104" s="8">
        <f t="shared" si="73"/>
        <v>-2.1534485941057037E-4</v>
      </c>
      <c r="AR104" s="8">
        <f t="shared" si="73"/>
        <v>-9.3185065540162757E-5</v>
      </c>
      <c r="AS104" s="8">
        <f t="shared" si="73"/>
        <v>-7.8285240100831388E-5</v>
      </c>
      <c r="AT104" s="8">
        <f t="shared" si="73"/>
        <v>-3.1065065780276789E-5</v>
      </c>
      <c r="AU104" s="8">
        <f t="shared" si="73"/>
        <v>1.7198517800465923E-4</v>
      </c>
      <c r="AV104" s="8">
        <f t="shared" si="73"/>
        <v>-3.0079949339032694E-4</v>
      </c>
      <c r="AW104" s="8">
        <f t="shared" si="73"/>
        <v>-6.2519537355423574E-5</v>
      </c>
      <c r="AX104" s="8">
        <f t="shared" si="73"/>
        <v>-4.7772982785801866E-5</v>
      </c>
      <c r="AY104" s="8">
        <f t="shared" si="73"/>
        <v>-1.6224810980952072E-4</v>
      </c>
      <c r="AZ104" s="8">
        <f t="shared" si="73"/>
        <v>-8.1471704876896251E-5</v>
      </c>
      <c r="BA104" s="8">
        <f t="shared" si="73"/>
        <v>1.6525101629375019E-5</v>
      </c>
      <c r="BB104" s="8">
        <f t="shared" si="73"/>
        <v>3.4450683846074342E-5</v>
      </c>
      <c r="BC104" s="8">
        <f t="shared" si="73"/>
        <v>-5.0564638462834988E-5</v>
      </c>
      <c r="BD104" s="8">
        <f t="shared" si="73"/>
        <v>-1.0069310420058067E-4</v>
      </c>
      <c r="BE104" s="8">
        <f t="shared" si="73"/>
        <v>-3.3012561279566873E-5</v>
      </c>
      <c r="BF104" s="8">
        <f t="shared" si="73"/>
        <v>3.2292961748986807E-5</v>
      </c>
      <c r="BG104" s="8">
        <f t="shared" si="73"/>
        <v>-1.3998413513135178E-4</v>
      </c>
      <c r="BH104" s="8">
        <f t="shared" si="73"/>
        <v>-3.4828643076065759E-5</v>
      </c>
      <c r="BI104" s="8">
        <f t="shared" si="73"/>
        <v>0</v>
      </c>
      <c r="BJ104" s="8">
        <f t="shared" si="73"/>
        <v>4.1076196344218524E-5</v>
      </c>
      <c r="BK104" s="8">
        <f t="shared" si="73"/>
        <v>6.7244973438235491E-5</v>
      </c>
      <c r="BL104" s="8">
        <f t="shared" si="73"/>
        <v>0</v>
      </c>
      <c r="BM104" s="8">
        <f t="shared" si="73"/>
        <v>-4.9845479015053332E-5</v>
      </c>
      <c r="BN104" s="8">
        <f t="shared" si="73"/>
        <v>-1.2943308309603936E-4</v>
      </c>
      <c r="BO104" s="8">
        <f t="shared" ref="BO104:CY104" si="74">BO79/BO5</f>
        <v>1.0828956630028697E-4</v>
      </c>
      <c r="BP104" s="8">
        <f t="shared" si="74"/>
        <v>-1.4285714285714287E-4</v>
      </c>
      <c r="BQ104" s="8">
        <f t="shared" si="74"/>
        <v>0</v>
      </c>
      <c r="BR104" s="8">
        <f t="shared" si="74"/>
        <v>1.2575452716297788E-4</v>
      </c>
      <c r="BS104" s="8">
        <f t="shared" si="74"/>
        <v>-2.2318581813544192E-4</v>
      </c>
      <c r="BT104" s="8">
        <f t="shared" si="74"/>
        <v>-3.2149172158816913E-5</v>
      </c>
      <c r="BU104" s="8">
        <f t="shared" si="74"/>
        <v>6.1117222833394455E-5</v>
      </c>
      <c r="BV104" s="8">
        <f t="shared" si="74"/>
        <v>-6.2247121070650483E-5</v>
      </c>
      <c r="BW104" s="8">
        <f t="shared" si="74"/>
        <v>-1.2365524916532706E-4</v>
      </c>
      <c r="BX104" s="8">
        <f t="shared" si="74"/>
        <v>6.4385281524643469E-5</v>
      </c>
      <c r="BY104" s="8">
        <f t="shared" si="74"/>
        <v>-6.487398228940284E-5</v>
      </c>
      <c r="BZ104" s="8">
        <f t="shared" si="74"/>
        <v>-2.3498606868307094E-4</v>
      </c>
      <c r="CA104" s="8">
        <f t="shared" si="74"/>
        <v>0</v>
      </c>
      <c r="CB104" s="8">
        <f t="shared" si="74"/>
        <v>0</v>
      </c>
      <c r="CC104" s="8">
        <f t="shared" si="74"/>
        <v>-6.8636535227701702E-5</v>
      </c>
      <c r="CD104" s="8">
        <f t="shared" si="74"/>
        <v>0</v>
      </c>
      <c r="CE104" s="8">
        <f t="shared" si="74"/>
        <v>2.2188528530749603E-4</v>
      </c>
      <c r="CF104" s="8">
        <f t="shared" si="74"/>
        <v>-3.9076237739830409E-5</v>
      </c>
      <c r="CG104" s="8">
        <f t="shared" si="74"/>
        <v>-3.544563034145957E-4</v>
      </c>
      <c r="CH104" s="8">
        <f t="shared" si="74"/>
        <v>-1.0323113451016826E-4</v>
      </c>
      <c r="CI104" s="8">
        <f t="shared" si="74"/>
        <v>-2.1836445026749646E-4</v>
      </c>
      <c r="CJ104" s="8">
        <f t="shared" si="74"/>
        <v>1.7936147315556619E-4</v>
      </c>
      <c r="CK104" s="8">
        <f t="shared" si="74"/>
        <v>-4.2771599657827201E-4</v>
      </c>
      <c r="CL104" s="8">
        <f t="shared" si="74"/>
        <v>0</v>
      </c>
      <c r="CM104" s="8">
        <f t="shared" si="74"/>
        <v>2.9171528588098014E-4</v>
      </c>
      <c r="CN104" s="8">
        <f t="shared" si="74"/>
        <v>-5.7984460164675871E-4</v>
      </c>
      <c r="CO104" s="8">
        <f t="shared" si="74"/>
        <v>-2.7936862690319879E-4</v>
      </c>
      <c r="CP104" s="8">
        <f t="shared" si="74"/>
        <v>-1.770224818551956E-4</v>
      </c>
      <c r="CQ104" s="8">
        <f t="shared" si="74"/>
        <v>0</v>
      </c>
      <c r="CR104" s="8">
        <f t="shared" si="74"/>
        <v>-9.2081031307550648E-4</v>
      </c>
      <c r="CS104" s="8">
        <f t="shared" si="74"/>
        <v>-8.5397096498719043E-4</v>
      </c>
      <c r="CT104" s="8">
        <f t="shared" si="74"/>
        <v>0</v>
      </c>
      <c r="CU104" s="8">
        <f t="shared" si="74"/>
        <v>-8.8495575221238937E-4</v>
      </c>
      <c r="CV104" s="8">
        <f t="shared" si="74"/>
        <v>-1.2853470437017994E-3</v>
      </c>
      <c r="CW104" s="8">
        <f t="shared" si="74"/>
        <v>-1.976284584980237E-3</v>
      </c>
      <c r="CX104" s="8">
        <f t="shared" si="74"/>
        <v>-3.0581039755351682E-3</v>
      </c>
      <c r="CY104" s="8">
        <f t="shared" si="74"/>
        <v>0</v>
      </c>
    </row>
    <row r="105" spans="1:105" x14ac:dyDescent="0.3">
      <c r="A105" s="10">
        <v>2004</v>
      </c>
      <c r="B105" s="8"/>
      <c r="C105" s="8">
        <f t="shared" ref="C105:AH105" si="75">C80/C6</f>
        <v>1.1130938709164474E-3</v>
      </c>
      <c r="D105" s="8">
        <f t="shared" si="75"/>
        <v>5.3324801365114918E-5</v>
      </c>
      <c r="E105" s="8">
        <f t="shared" si="75"/>
        <v>3.471498993265292E-5</v>
      </c>
      <c r="F105" s="8">
        <f t="shared" si="75"/>
        <v>3.3276209174250869E-5</v>
      </c>
      <c r="G105" s="8">
        <f t="shared" si="75"/>
        <v>-1.823728363949864E-4</v>
      </c>
      <c r="H105" s="8">
        <f t="shared" si="75"/>
        <v>-8.3798414533997013E-5</v>
      </c>
      <c r="I105" s="8">
        <f t="shared" si="75"/>
        <v>1.9568195160133062E-4</v>
      </c>
      <c r="J105" s="8">
        <f t="shared" si="75"/>
        <v>-9.5712098009188365E-5</v>
      </c>
      <c r="K105" s="8">
        <f t="shared" si="75"/>
        <v>-1.449508777580931E-4</v>
      </c>
      <c r="L105" s="8">
        <f t="shared" si="75"/>
        <v>1.6169455897809037E-5</v>
      </c>
      <c r="M105" s="8">
        <f t="shared" si="75"/>
        <v>3.2501828227837813E-5</v>
      </c>
      <c r="N105" s="8">
        <f t="shared" si="75"/>
        <v>-1.7600844840552347E-4</v>
      </c>
      <c r="O105" s="8">
        <f t="shared" si="75"/>
        <v>7.9097653963583446E-5</v>
      </c>
      <c r="P105" s="8">
        <f t="shared" si="75"/>
        <v>-3.162255320494577E-5</v>
      </c>
      <c r="Q105" s="8">
        <f t="shared" si="75"/>
        <v>-1.1374345975106431E-4</v>
      </c>
      <c r="R105" s="8">
        <f t="shared" si="75"/>
        <v>6.6960175435659648E-5</v>
      </c>
      <c r="S105" s="8">
        <f t="shared" si="75"/>
        <v>4.2376622230069744E-4</v>
      </c>
      <c r="T105" s="8">
        <f t="shared" si="75"/>
        <v>1.4435742899418961E-4</v>
      </c>
      <c r="U105" s="8">
        <f t="shared" si="75"/>
        <v>7.3674322656696071E-4</v>
      </c>
      <c r="V105" s="8">
        <f t="shared" si="75"/>
        <v>3.7218303961888456E-4</v>
      </c>
      <c r="W105" s="8">
        <f t="shared" si="75"/>
        <v>2.981681295540523E-4</v>
      </c>
      <c r="X105" s="8">
        <f t="shared" si="75"/>
        <v>-3.6443812751690083E-5</v>
      </c>
      <c r="Y105" s="8">
        <f t="shared" si="75"/>
        <v>7.3432222059039505E-4</v>
      </c>
      <c r="Z105" s="8">
        <f t="shared" si="75"/>
        <v>1.0312075983717774E-3</v>
      </c>
      <c r="AA105" s="8">
        <f t="shared" si="75"/>
        <v>-1.9674124948578992E-4</v>
      </c>
      <c r="AB105" s="8">
        <f t="shared" si="75"/>
        <v>1.0835775823785415E-3</v>
      </c>
      <c r="AC105" s="8">
        <f t="shared" si="75"/>
        <v>-1.6118633139909736E-4</v>
      </c>
      <c r="AD105" s="8">
        <f t="shared" si="75"/>
        <v>-2.0552520252796E-4</v>
      </c>
      <c r="AE105" s="8">
        <f t="shared" si="75"/>
        <v>-4.2380478899411566E-4</v>
      </c>
      <c r="AF105" s="8">
        <f t="shared" si="75"/>
        <v>7.7131926446994943E-5</v>
      </c>
      <c r="AG105" s="8">
        <f t="shared" si="75"/>
        <v>-1.6608787558508229E-4</v>
      </c>
      <c r="AH105" s="8">
        <f t="shared" si="75"/>
        <v>-4.7769317622535539E-4</v>
      </c>
      <c r="AI105" s="8">
        <f t="shared" ref="AI105:BN105" si="76">AI80/AI6</f>
        <v>-8.5616438356164384E-5</v>
      </c>
      <c r="AJ105" s="8">
        <f t="shared" si="76"/>
        <v>-2.7288656536351362E-4</v>
      </c>
      <c r="AK105" s="8">
        <f t="shared" si="76"/>
        <v>-1.3857901082302073E-4</v>
      </c>
      <c r="AL105" s="8">
        <f t="shared" si="76"/>
        <v>-3.9007536813362865E-4</v>
      </c>
      <c r="AM105" s="8">
        <f t="shared" si="76"/>
        <v>-2.8451525713066364E-5</v>
      </c>
      <c r="AN105" s="8">
        <f t="shared" si="76"/>
        <v>-8.506656458678916E-5</v>
      </c>
      <c r="AO105" s="8">
        <f t="shared" si="76"/>
        <v>-5.0176333973678928E-4</v>
      </c>
      <c r="AP105" s="8">
        <f t="shared" si="76"/>
        <v>1.8875869378983897E-4</v>
      </c>
      <c r="AQ105" s="8">
        <f t="shared" si="76"/>
        <v>-2.4112726998719013E-4</v>
      </c>
      <c r="AR105" s="8">
        <f t="shared" si="76"/>
        <v>-3.075125311356438E-5</v>
      </c>
      <c r="AS105" s="8">
        <f t="shared" si="76"/>
        <v>-2.6404075546719683E-4</v>
      </c>
      <c r="AT105" s="8">
        <f t="shared" si="76"/>
        <v>3.1323904837977106E-5</v>
      </c>
      <c r="AU105" s="8">
        <f t="shared" si="76"/>
        <v>-1.708897139927605E-4</v>
      </c>
      <c r="AV105" s="8">
        <f t="shared" si="76"/>
        <v>-4.6985857256965655E-5</v>
      </c>
      <c r="AW105" s="8">
        <f t="shared" si="76"/>
        <v>-1.4265109128084829E-4</v>
      </c>
      <c r="AX105" s="8">
        <f t="shared" si="76"/>
        <v>-1.2520149615787907E-4</v>
      </c>
      <c r="AY105" s="8">
        <f t="shared" si="76"/>
        <v>-3.189741790402067E-5</v>
      </c>
      <c r="AZ105" s="8">
        <f t="shared" si="76"/>
        <v>4.8764629388816647E-5</v>
      </c>
      <c r="BA105" s="8">
        <f t="shared" si="76"/>
        <v>-4.8999591670069414E-5</v>
      </c>
      <c r="BB105" s="8">
        <f t="shared" si="76"/>
        <v>1.3258423242015944E-4</v>
      </c>
      <c r="BC105" s="8">
        <f t="shared" si="76"/>
        <v>-6.9143143593023457E-5</v>
      </c>
      <c r="BD105" s="8">
        <f t="shared" si="76"/>
        <v>0</v>
      </c>
      <c r="BE105" s="8">
        <f t="shared" si="76"/>
        <v>1.6853175138196036E-5</v>
      </c>
      <c r="BF105" s="8">
        <f t="shared" si="76"/>
        <v>1.6580173428614064E-5</v>
      </c>
      <c r="BG105" s="8">
        <f t="shared" si="76"/>
        <v>-4.8701298701298701E-5</v>
      </c>
      <c r="BH105" s="8">
        <f t="shared" si="76"/>
        <v>-3.1302333588969056E-5</v>
      </c>
      <c r="BI105" s="8">
        <f t="shared" si="76"/>
        <v>7.008567974348641E-5</v>
      </c>
      <c r="BJ105" s="8">
        <f t="shared" si="76"/>
        <v>-7.3136839025817301E-5</v>
      </c>
      <c r="BK105" s="8">
        <f t="shared" si="76"/>
        <v>2.0698791190594469E-5</v>
      </c>
      <c r="BL105" s="8">
        <f t="shared" si="76"/>
        <v>-1.3553808620222281E-4</v>
      </c>
      <c r="BM105" s="8">
        <f t="shared" si="76"/>
        <v>-7.7972709551656923E-5</v>
      </c>
      <c r="BN105" s="8">
        <f t="shared" si="76"/>
        <v>0</v>
      </c>
      <c r="BO105" s="8">
        <f t="shared" ref="BO105:CY105" si="77">BO80/BO6</f>
        <v>2.6192409439744363E-5</v>
      </c>
      <c r="BP105" s="8">
        <f t="shared" si="77"/>
        <v>0</v>
      </c>
      <c r="BQ105" s="8">
        <f t="shared" si="77"/>
        <v>-5.7932392897488632E-5</v>
      </c>
      <c r="BR105" s="8">
        <f t="shared" si="77"/>
        <v>-6.0842054027743974E-5</v>
      </c>
      <c r="BS105" s="8">
        <f t="shared" si="77"/>
        <v>-1.2775471095496647E-4</v>
      </c>
      <c r="BT105" s="8">
        <f t="shared" si="77"/>
        <v>-3.2467532467532468E-5</v>
      </c>
      <c r="BU105" s="8">
        <f t="shared" si="77"/>
        <v>-1.6379479787721941E-4</v>
      </c>
      <c r="BV105" s="8">
        <f t="shared" si="77"/>
        <v>-1.2477773965124622E-4</v>
      </c>
      <c r="BW105" s="8">
        <f t="shared" si="77"/>
        <v>1.5919510952623535E-4</v>
      </c>
      <c r="BX105" s="8">
        <f t="shared" si="77"/>
        <v>-2.5377490166222558E-4</v>
      </c>
      <c r="BY105" s="8">
        <f t="shared" si="77"/>
        <v>9.9423344601312383E-5</v>
      </c>
      <c r="BZ105" s="8">
        <f t="shared" si="77"/>
        <v>-1.0018367006177993E-4</v>
      </c>
      <c r="CA105" s="8">
        <f t="shared" si="77"/>
        <v>-3.4799554565701557E-5</v>
      </c>
      <c r="CB105" s="8">
        <f t="shared" si="77"/>
        <v>0</v>
      </c>
      <c r="CC105" s="8">
        <f t="shared" si="77"/>
        <v>7.1836500125713881E-5</v>
      </c>
      <c r="CD105" s="8">
        <f t="shared" si="77"/>
        <v>-7.1968333933069455E-5</v>
      </c>
      <c r="CE105" s="8">
        <f t="shared" si="77"/>
        <v>-7.4241805560711232E-5</v>
      </c>
      <c r="CF105" s="8">
        <f t="shared" si="77"/>
        <v>2.3578417888159704E-4</v>
      </c>
      <c r="CG105" s="8">
        <f t="shared" si="77"/>
        <v>-2.9294831554718562E-4</v>
      </c>
      <c r="CH105" s="8">
        <f t="shared" si="77"/>
        <v>-2.9825308904985089E-4</v>
      </c>
      <c r="CI105" s="8">
        <f t="shared" si="77"/>
        <v>-5.6299966220020271E-5</v>
      </c>
      <c r="CJ105" s="8">
        <f t="shared" si="77"/>
        <v>-1.8027762754642149E-4</v>
      </c>
      <c r="CK105" s="8">
        <f t="shared" si="77"/>
        <v>3.3449290875033451E-4</v>
      </c>
      <c r="CL105" s="8">
        <f t="shared" si="77"/>
        <v>-9.731570837726056E-4</v>
      </c>
      <c r="CM105" s="8">
        <f t="shared" si="77"/>
        <v>-3.84172109104879E-4</v>
      </c>
      <c r="CN105" s="8">
        <f t="shared" si="77"/>
        <v>-6.8220579874928933E-4</v>
      </c>
      <c r="CO105" s="8">
        <f t="shared" si="77"/>
        <v>5.5842524082088513E-4</v>
      </c>
      <c r="CP105" s="8">
        <f t="shared" si="77"/>
        <v>-6.7888662593346908E-4</v>
      </c>
      <c r="CQ105" s="8">
        <f t="shared" si="77"/>
        <v>0</v>
      </c>
      <c r="CR105" s="8">
        <f t="shared" si="77"/>
        <v>-5.9014458542342872E-4</v>
      </c>
      <c r="CS105" s="8">
        <f t="shared" si="77"/>
        <v>-4.0633888663145062E-4</v>
      </c>
      <c r="CT105" s="8">
        <f t="shared" si="77"/>
        <v>5.750431282346176E-4</v>
      </c>
      <c r="CU105" s="8">
        <f t="shared" si="77"/>
        <v>-1.5760441292356187E-3</v>
      </c>
      <c r="CV105" s="8">
        <f t="shared" si="77"/>
        <v>-1.2642225031605564E-3</v>
      </c>
      <c r="CW105" s="8">
        <f t="shared" si="77"/>
        <v>1.9230769230769232E-3</v>
      </c>
      <c r="CX105" s="8">
        <f t="shared" si="77"/>
        <v>-9.0909090909090905E-3</v>
      </c>
      <c r="CY105" s="8">
        <f t="shared" si="77"/>
        <v>-4.5871559633027525E-3</v>
      </c>
    </row>
    <row r="106" spans="1:105" x14ac:dyDescent="0.3">
      <c r="A106" s="10">
        <v>2005</v>
      </c>
      <c r="B106" s="8"/>
      <c r="C106" s="8">
        <f t="shared" ref="C106:AH106" si="78">C81/C7</f>
        <v>-1.2261986091404348E-4</v>
      </c>
      <c r="D106" s="8">
        <f t="shared" si="78"/>
        <v>1.9159757541977287E-4</v>
      </c>
      <c r="E106" s="8">
        <f t="shared" si="78"/>
        <v>8.8314257453723334E-5</v>
      </c>
      <c r="F106" s="8">
        <f t="shared" si="78"/>
        <v>1.5578211275163139E-4</v>
      </c>
      <c r="G106" s="8">
        <f t="shared" si="78"/>
        <v>-2.8212021640280129E-4</v>
      </c>
      <c r="H106" s="8">
        <f t="shared" si="78"/>
        <v>-1.6534391534391536E-5</v>
      </c>
      <c r="I106" s="8">
        <f t="shared" si="78"/>
        <v>5.0170579971904475E-5</v>
      </c>
      <c r="J106" s="8">
        <f t="shared" si="78"/>
        <v>-3.2516624124083441E-5</v>
      </c>
      <c r="K106" s="8">
        <f t="shared" si="78"/>
        <v>-1.4315709104790992E-4</v>
      </c>
      <c r="L106" s="8">
        <f t="shared" si="78"/>
        <v>3.2109428933806415E-5</v>
      </c>
      <c r="M106" s="8">
        <f t="shared" si="78"/>
        <v>-1.6123571048515825E-4</v>
      </c>
      <c r="N106" s="8">
        <f t="shared" si="78"/>
        <v>4.8602673147023087E-5</v>
      </c>
      <c r="O106" s="8">
        <f t="shared" si="78"/>
        <v>-1.5961182404392516E-5</v>
      </c>
      <c r="P106" s="8">
        <f t="shared" si="78"/>
        <v>1.1037875681983034E-4</v>
      </c>
      <c r="Q106" s="8">
        <f t="shared" si="78"/>
        <v>-4.7305181494212998E-5</v>
      </c>
      <c r="R106" s="8">
        <f t="shared" si="78"/>
        <v>6.482141699617554E-5</v>
      </c>
      <c r="S106" s="8">
        <f t="shared" si="78"/>
        <v>1.3324894233652021E-4</v>
      </c>
      <c r="T106" s="8">
        <f t="shared" si="78"/>
        <v>1.0532043743088347E-4</v>
      </c>
      <c r="U106" s="8">
        <f t="shared" si="78"/>
        <v>3.5904064340083297E-4</v>
      </c>
      <c r="V106" s="8">
        <f t="shared" si="78"/>
        <v>-5.4920913884007027E-5</v>
      </c>
      <c r="W106" s="8">
        <f t="shared" si="78"/>
        <v>3.1451195145415527E-4</v>
      </c>
      <c r="X106" s="8">
        <f t="shared" si="78"/>
        <v>3.1551596139569411E-4</v>
      </c>
      <c r="Y106" s="8">
        <f t="shared" si="78"/>
        <v>4.8911271330748891E-4</v>
      </c>
      <c r="Z106" s="8">
        <f t="shared" si="78"/>
        <v>7.2769611410275064E-5</v>
      </c>
      <c r="AA106" s="8">
        <f t="shared" si="78"/>
        <v>4.1215683463551001E-4</v>
      </c>
      <c r="AB106" s="8">
        <f t="shared" si="78"/>
        <v>-5.1383819412452599E-4</v>
      </c>
      <c r="AC106" s="8">
        <f t="shared" si="78"/>
        <v>1.5829463908822287E-4</v>
      </c>
      <c r="AD106" s="8">
        <f t="shared" si="78"/>
        <v>5.3267045454545452E-5</v>
      </c>
      <c r="AE106" s="8">
        <f t="shared" si="78"/>
        <v>-6.7984431565171571E-5</v>
      </c>
      <c r="AF106" s="8">
        <f t="shared" si="78"/>
        <v>-4.8542118378046018E-4</v>
      </c>
      <c r="AG106" s="8">
        <f t="shared" si="78"/>
        <v>6.1251052752469182E-5</v>
      </c>
      <c r="AH106" s="8">
        <f t="shared" si="78"/>
        <v>-3.7583246891865482E-4</v>
      </c>
      <c r="AI106" s="8">
        <f t="shared" ref="AI106:BN106" si="79">AI81/AI7</f>
        <v>-1.4414622192752329E-4</v>
      </c>
      <c r="AJ106" s="8">
        <f t="shared" si="79"/>
        <v>-1.5635660677734819E-4</v>
      </c>
      <c r="AK106" s="8">
        <f t="shared" si="79"/>
        <v>1.4317212152449674E-4</v>
      </c>
      <c r="AL106" s="8">
        <f t="shared" si="79"/>
        <v>-5.529902950203224E-5</v>
      </c>
      <c r="AM106" s="8">
        <f t="shared" si="79"/>
        <v>-1.5284358543261683E-4</v>
      </c>
      <c r="AN106" s="8">
        <f t="shared" si="79"/>
        <v>4.2620295784852749E-5</v>
      </c>
      <c r="AO106" s="8">
        <f t="shared" si="79"/>
        <v>-2.8311368429993064E-5</v>
      </c>
      <c r="AP106" s="8">
        <f t="shared" si="79"/>
        <v>4.2984253435158256E-5</v>
      </c>
      <c r="AQ106" s="8">
        <f t="shared" si="79"/>
        <v>-5.7997912075165292E-5</v>
      </c>
      <c r="AR106" s="8">
        <f t="shared" si="79"/>
        <v>-1.8079368427396269E-4</v>
      </c>
      <c r="AS106" s="8">
        <f t="shared" si="79"/>
        <v>1.2296908864534178E-4</v>
      </c>
      <c r="AT106" s="8">
        <f t="shared" si="79"/>
        <v>-2.1731706559870851E-4</v>
      </c>
      <c r="AU106" s="8">
        <f t="shared" si="79"/>
        <v>-1.565999029080602E-5</v>
      </c>
      <c r="AV106" s="8">
        <f t="shared" si="79"/>
        <v>-7.7721818068768268E-5</v>
      </c>
      <c r="AW106" s="8">
        <f t="shared" si="79"/>
        <v>0</v>
      </c>
      <c r="AX106" s="8">
        <f t="shared" si="79"/>
        <v>1.5859170565379429E-4</v>
      </c>
      <c r="AY106" s="8">
        <f t="shared" si="79"/>
        <v>3.1333228889237038E-5</v>
      </c>
      <c r="AZ106" s="8">
        <f t="shared" si="79"/>
        <v>-2.0764119601328904E-4</v>
      </c>
      <c r="BA106" s="8">
        <f t="shared" si="79"/>
        <v>-1.4656309541257511E-4</v>
      </c>
      <c r="BB106" s="8">
        <f t="shared" si="79"/>
        <v>0</v>
      </c>
      <c r="BC106" s="8">
        <f t="shared" si="79"/>
        <v>4.9884434393654699E-5</v>
      </c>
      <c r="BD106" s="8">
        <f t="shared" si="79"/>
        <v>-1.2138868657441127E-4</v>
      </c>
      <c r="BE106" s="8">
        <f t="shared" si="79"/>
        <v>1.6986580601324952E-5</v>
      </c>
      <c r="BF106" s="8">
        <f t="shared" si="79"/>
        <v>0</v>
      </c>
      <c r="BG106" s="8">
        <f t="shared" si="79"/>
        <v>-3.3316120004664257E-5</v>
      </c>
      <c r="BH106" s="8">
        <f t="shared" si="79"/>
        <v>9.797038028835949E-5</v>
      </c>
      <c r="BI106" s="8">
        <f t="shared" si="79"/>
        <v>-6.3020907185958939E-5</v>
      </c>
      <c r="BJ106" s="8">
        <f t="shared" si="79"/>
        <v>-3.5287060235011819E-5</v>
      </c>
      <c r="BK106" s="8">
        <f t="shared" si="79"/>
        <v>5.5271012196470023E-5</v>
      </c>
      <c r="BL106" s="8">
        <f t="shared" si="79"/>
        <v>1.0430574098798398E-4</v>
      </c>
      <c r="BM106" s="8">
        <f t="shared" si="79"/>
        <v>-6.8330903790087466E-5</v>
      </c>
      <c r="BN106" s="8">
        <f t="shared" si="79"/>
        <v>-7.8672016363779399E-5</v>
      </c>
      <c r="BO106" s="8">
        <f t="shared" ref="BO106:CY106" si="80">BO81/BO7</f>
        <v>-2.2862949320462341E-4</v>
      </c>
      <c r="BP106" s="8">
        <f t="shared" si="80"/>
        <v>-5.2971713105201819E-5</v>
      </c>
      <c r="BQ106" s="8">
        <f t="shared" si="80"/>
        <v>1.3877324451845685E-4</v>
      </c>
      <c r="BR106" s="8">
        <f t="shared" si="80"/>
        <v>-1.7629947403990245E-4</v>
      </c>
      <c r="BS106" s="8">
        <f t="shared" si="80"/>
        <v>3.0850866909360152E-5</v>
      </c>
      <c r="BT106" s="8">
        <f t="shared" si="80"/>
        <v>-1.6251178210420256E-4</v>
      </c>
      <c r="BU106" s="8">
        <f t="shared" si="80"/>
        <v>2.9737320337022965E-4</v>
      </c>
      <c r="BV106" s="8">
        <f t="shared" si="80"/>
        <v>6.6873975992242613E-5</v>
      </c>
      <c r="BW106" s="8">
        <f t="shared" si="80"/>
        <v>-2.8691660290742159E-4</v>
      </c>
      <c r="BX106" s="8">
        <f t="shared" si="80"/>
        <v>0</v>
      </c>
      <c r="BY106" s="8">
        <f t="shared" si="80"/>
        <v>-9.7656250000000005E-5</v>
      </c>
      <c r="BZ106" s="8">
        <f t="shared" si="80"/>
        <v>3.4120376688958649E-5</v>
      </c>
      <c r="CA106" s="8">
        <f t="shared" si="80"/>
        <v>-3.4491084054771843E-5</v>
      </c>
      <c r="CB106" s="8">
        <f t="shared" si="80"/>
        <v>-1.0834236186348862E-4</v>
      </c>
      <c r="CC106" s="8">
        <f t="shared" si="80"/>
        <v>1.4283673760891302E-4</v>
      </c>
      <c r="CD106" s="8">
        <f t="shared" si="80"/>
        <v>-3.7558685446009389E-5</v>
      </c>
      <c r="CE106" s="8">
        <f t="shared" si="80"/>
        <v>-1.5165876777251184E-4</v>
      </c>
      <c r="CF106" s="8">
        <f t="shared" si="80"/>
        <v>-3.9558526840460461E-5</v>
      </c>
      <c r="CG106" s="8">
        <f t="shared" si="80"/>
        <v>8.395248289468161E-5</v>
      </c>
      <c r="CH106" s="8">
        <f t="shared" si="80"/>
        <v>9.0090090090090091E-5</v>
      </c>
      <c r="CI106" s="8">
        <f t="shared" si="80"/>
        <v>-3.243593902043464E-4</v>
      </c>
      <c r="CJ106" s="8">
        <f t="shared" si="80"/>
        <v>-1.2385434728758978E-4</v>
      </c>
      <c r="CK106" s="8">
        <f t="shared" si="80"/>
        <v>3.3224798989966108E-4</v>
      </c>
      <c r="CL106" s="8">
        <f t="shared" si="80"/>
        <v>-6.0331825037707393E-4</v>
      </c>
      <c r="CM106" s="8">
        <f t="shared" si="80"/>
        <v>-9.2876381536175344E-5</v>
      </c>
      <c r="CN106" s="8">
        <f t="shared" si="80"/>
        <v>4.4692737430167598E-4</v>
      </c>
      <c r="CO106" s="8">
        <f t="shared" si="80"/>
        <v>-1.3526308670363857E-4</v>
      </c>
      <c r="CP106" s="8">
        <f t="shared" si="80"/>
        <v>1.6929067208396818E-4</v>
      </c>
      <c r="CQ106" s="8">
        <f t="shared" si="80"/>
        <v>-8.3073727933541017E-4</v>
      </c>
      <c r="CR106" s="8">
        <f t="shared" si="80"/>
        <v>2.841716396703609E-4</v>
      </c>
      <c r="CS106" s="8">
        <f t="shared" si="80"/>
        <v>0</v>
      </c>
      <c r="CT106" s="8">
        <f t="shared" si="80"/>
        <v>-1.0638297872340426E-3</v>
      </c>
      <c r="CU106" s="8">
        <f t="shared" si="80"/>
        <v>0</v>
      </c>
      <c r="CV106" s="8">
        <f t="shared" si="80"/>
        <v>-1.1210762331838565E-3</v>
      </c>
      <c r="CW106" s="8">
        <f t="shared" si="80"/>
        <v>0</v>
      </c>
      <c r="CX106" s="8">
        <f t="shared" si="80"/>
        <v>0</v>
      </c>
      <c r="CY106" s="8">
        <f t="shared" si="80"/>
        <v>0</v>
      </c>
    </row>
    <row r="107" spans="1:105" x14ac:dyDescent="0.3">
      <c r="A107" s="10">
        <v>2006</v>
      </c>
      <c r="B107" s="8"/>
      <c r="C107" s="8">
        <f t="shared" ref="C107:AH107" si="81">C82/C8</f>
        <v>0</v>
      </c>
      <c r="D107" s="8">
        <f t="shared" si="81"/>
        <v>1.5582796592561812E-4</v>
      </c>
      <c r="E107" s="8">
        <f t="shared" si="81"/>
        <v>-5.1844811198479219E-5</v>
      </c>
      <c r="F107" s="8">
        <f t="shared" si="81"/>
        <v>-2.8172486045815505E-4</v>
      </c>
      <c r="G107" s="8">
        <f t="shared" si="81"/>
        <v>1.7242568452996757E-4</v>
      </c>
      <c r="H107" s="8">
        <f t="shared" si="81"/>
        <v>1.6547524490336246E-5</v>
      </c>
      <c r="I107" s="8">
        <f t="shared" si="81"/>
        <v>-6.5885918532061741E-5</v>
      </c>
      <c r="J107" s="8">
        <f t="shared" si="81"/>
        <v>-8.3245925111965772E-5</v>
      </c>
      <c r="K107" s="8">
        <f t="shared" si="81"/>
        <v>1.6188564398109176E-5</v>
      </c>
      <c r="L107" s="8">
        <f t="shared" si="81"/>
        <v>-1.1088230635197212E-4</v>
      </c>
      <c r="M107" s="8">
        <f t="shared" si="81"/>
        <v>-6.3936574917681664E-5</v>
      </c>
      <c r="N107" s="8">
        <f t="shared" si="81"/>
        <v>4.8181161165984101E-5</v>
      </c>
      <c r="O107" s="8">
        <f t="shared" si="81"/>
        <v>1.6141528925619835E-5</v>
      </c>
      <c r="P107" s="8">
        <f t="shared" si="81"/>
        <v>-7.9527922253503207E-5</v>
      </c>
      <c r="Q107" s="8">
        <f t="shared" si="81"/>
        <v>1.5705983979896342E-5</v>
      </c>
      <c r="R107" s="8">
        <f t="shared" si="81"/>
        <v>-6.2831830605384692E-5</v>
      </c>
      <c r="S107" s="8">
        <f t="shared" si="81"/>
        <v>-1.6143092370774547E-5</v>
      </c>
      <c r="T107" s="8">
        <f t="shared" si="81"/>
        <v>3.3162546220298796E-4</v>
      </c>
      <c r="U107" s="8">
        <f t="shared" si="81"/>
        <v>5.2414564260255785E-5</v>
      </c>
      <c r="V107" s="8">
        <f t="shared" si="81"/>
        <v>1.071007818357074E-4</v>
      </c>
      <c r="W107" s="8">
        <f t="shared" si="81"/>
        <v>3.6388115641431507E-4</v>
      </c>
      <c r="X107" s="8">
        <f t="shared" si="81"/>
        <v>9.5672652340300266E-4</v>
      </c>
      <c r="Y107" s="8">
        <f t="shared" si="81"/>
        <v>-2.0242914979757084E-4</v>
      </c>
      <c r="Z107" s="8">
        <f t="shared" si="81"/>
        <v>4.6564106237799311E-4</v>
      </c>
      <c r="AA107" s="8">
        <f t="shared" si="81"/>
        <v>9.0064125657468111E-5</v>
      </c>
      <c r="AB107" s="8">
        <f t="shared" si="81"/>
        <v>-2.8312570781426955E-4</v>
      </c>
      <c r="AC107" s="8">
        <f t="shared" si="81"/>
        <v>-5.246222719641858E-5</v>
      </c>
      <c r="AD107" s="8">
        <f t="shared" si="81"/>
        <v>3.4739109289237823E-5</v>
      </c>
      <c r="AE107" s="8">
        <f t="shared" si="81"/>
        <v>-5.2615886489994212E-4</v>
      </c>
      <c r="AF107" s="8">
        <f t="shared" si="81"/>
        <v>0</v>
      </c>
      <c r="AG107" s="8">
        <f t="shared" si="81"/>
        <v>-4.807153043729069E-5</v>
      </c>
      <c r="AH107" s="8">
        <f t="shared" si="81"/>
        <v>-2.4312783965718974E-4</v>
      </c>
      <c r="AI107" s="8">
        <f t="shared" ref="AI107:BN107" si="82">AI82/AI8</f>
        <v>-2.3883448770002389E-4</v>
      </c>
      <c r="AJ107" s="8">
        <f t="shared" si="82"/>
        <v>7.1540992988982689E-5</v>
      </c>
      <c r="AK107" s="8">
        <f t="shared" si="82"/>
        <v>-9.8896596544270358E-5</v>
      </c>
      <c r="AL107" s="8">
        <f t="shared" si="82"/>
        <v>7.116222139990322E-5</v>
      </c>
      <c r="AM107" s="8">
        <f t="shared" si="82"/>
        <v>-2.7537588808723907E-4</v>
      </c>
      <c r="AN107" s="8">
        <f t="shared" si="82"/>
        <v>-5.5336515182956354E-5</v>
      </c>
      <c r="AO107" s="8">
        <f t="shared" si="82"/>
        <v>-1.2739214132034878E-4</v>
      </c>
      <c r="AP107" s="8">
        <f t="shared" si="82"/>
        <v>-7.0589564038852501E-5</v>
      </c>
      <c r="AQ107" s="8">
        <f t="shared" si="82"/>
        <v>7.148882629644986E-5</v>
      </c>
      <c r="AR107" s="8">
        <f t="shared" si="82"/>
        <v>-1.0130392625074169E-4</v>
      </c>
      <c r="AS107" s="8">
        <f t="shared" si="82"/>
        <v>-1.3526105383389943E-4</v>
      </c>
      <c r="AT107" s="8">
        <f t="shared" si="82"/>
        <v>-1.0735043783642861E-4</v>
      </c>
      <c r="AU107" s="8">
        <f t="shared" si="82"/>
        <v>-6.2029929440955256E-5</v>
      </c>
      <c r="AV107" s="8">
        <f t="shared" si="82"/>
        <v>-3.1275411271658224E-5</v>
      </c>
      <c r="AW107" s="8">
        <f t="shared" si="82"/>
        <v>1.5539049631724523E-5</v>
      </c>
      <c r="AX107" s="8">
        <f t="shared" si="82"/>
        <v>-4.6974821495678314E-5</v>
      </c>
      <c r="AY107" s="8">
        <f t="shared" si="82"/>
        <v>0</v>
      </c>
      <c r="AZ107" s="8">
        <f t="shared" si="82"/>
        <v>-6.2765773823534032E-5</v>
      </c>
      <c r="BA107" s="8">
        <f t="shared" si="82"/>
        <v>-3.1989251611458551E-5</v>
      </c>
      <c r="BB107" s="8">
        <f t="shared" si="82"/>
        <v>6.5285870505475858E-5</v>
      </c>
      <c r="BC107" s="8">
        <f t="shared" si="82"/>
        <v>1.6414431568234792E-5</v>
      </c>
      <c r="BD107" s="8">
        <f t="shared" si="82"/>
        <v>0</v>
      </c>
      <c r="BE107" s="8">
        <f t="shared" si="82"/>
        <v>1.7405228530650607E-5</v>
      </c>
      <c r="BF107" s="8">
        <f t="shared" si="82"/>
        <v>-1.7052333611854781E-5</v>
      </c>
      <c r="BG107" s="8">
        <f t="shared" si="82"/>
        <v>3.4003196300452245E-5</v>
      </c>
      <c r="BH107" s="8">
        <f t="shared" si="82"/>
        <v>3.3479527269074962E-5</v>
      </c>
      <c r="BI107" s="8">
        <f t="shared" si="82"/>
        <v>-8.2100458120556318E-5</v>
      </c>
      <c r="BJ107" s="8">
        <f t="shared" si="82"/>
        <v>3.1712808803475722E-5</v>
      </c>
      <c r="BK107" s="8">
        <f t="shared" si="82"/>
        <v>7.1061841567624225E-5</v>
      </c>
      <c r="BL107" s="8">
        <f t="shared" si="82"/>
        <v>-1.1137511137511137E-4</v>
      </c>
      <c r="BM107" s="8">
        <f t="shared" si="82"/>
        <v>4.2111469058598112E-5</v>
      </c>
      <c r="BN107" s="8">
        <f t="shared" si="82"/>
        <v>-1.8379396696303443E-4</v>
      </c>
      <c r="BO107" s="8">
        <f t="shared" ref="BO107:CY107" si="83">BO82/BO8</f>
        <v>3.4445298216793409E-4</v>
      </c>
      <c r="BP107" s="8">
        <f t="shared" si="83"/>
        <v>-2.3132678764200895E-4</v>
      </c>
      <c r="BQ107" s="8">
        <f t="shared" si="83"/>
        <v>5.3543222766578322E-5</v>
      </c>
      <c r="BR107" s="8">
        <f t="shared" si="83"/>
        <v>-1.4047311344608641E-4</v>
      </c>
      <c r="BS107" s="8">
        <f t="shared" si="83"/>
        <v>-8.9440104943056467E-5</v>
      </c>
      <c r="BT107" s="8">
        <f t="shared" si="83"/>
        <v>1.2536826929104242E-4</v>
      </c>
      <c r="BU107" s="8">
        <f t="shared" si="83"/>
        <v>6.6155067478168824E-5</v>
      </c>
      <c r="BV107" s="8">
        <f t="shared" si="83"/>
        <v>-1.0111564258990866E-4</v>
      </c>
      <c r="BW107" s="8">
        <f t="shared" si="83"/>
        <v>-6.8164002590232099E-5</v>
      </c>
      <c r="BX107" s="8">
        <f t="shared" si="83"/>
        <v>-3.2617913758236024E-5</v>
      </c>
      <c r="BY107" s="8">
        <f t="shared" si="83"/>
        <v>-3.3460483169376966E-5</v>
      </c>
      <c r="BZ107" s="8">
        <f t="shared" si="83"/>
        <v>1.0054293183189222E-4</v>
      </c>
      <c r="CA107" s="8">
        <f t="shared" si="83"/>
        <v>-1.0577533319229955E-4</v>
      </c>
      <c r="CB107" s="8">
        <f t="shared" si="83"/>
        <v>3.5738536864300773E-5</v>
      </c>
      <c r="CC107" s="8">
        <f t="shared" si="83"/>
        <v>3.7584094411245164E-5</v>
      </c>
      <c r="CD107" s="8">
        <f t="shared" si="83"/>
        <v>0</v>
      </c>
      <c r="CE107" s="8">
        <f t="shared" si="83"/>
        <v>1.1856770215793219E-4</v>
      </c>
      <c r="CF107" s="8">
        <f t="shared" si="83"/>
        <v>-4.0130021268911271E-5</v>
      </c>
      <c r="CG107" s="8">
        <f t="shared" si="83"/>
        <v>-4.2206558899252944E-5</v>
      </c>
      <c r="CH107" s="8">
        <f t="shared" si="83"/>
        <v>9.0159130865978456E-5</v>
      </c>
      <c r="CI107" s="8">
        <f t="shared" si="83"/>
        <v>-1.9461879044421738E-4</v>
      </c>
      <c r="CJ107" s="8">
        <f t="shared" si="83"/>
        <v>-5.0828504625393923E-5</v>
      </c>
      <c r="CK107" s="8">
        <f t="shared" si="83"/>
        <v>2.0744018807910387E-4</v>
      </c>
      <c r="CL107" s="8">
        <f t="shared" si="83"/>
        <v>-2.237303303751212E-4</v>
      </c>
      <c r="CM107" s="8">
        <f t="shared" si="83"/>
        <v>0</v>
      </c>
      <c r="CN107" s="8">
        <f t="shared" si="83"/>
        <v>-1.0781671159029649E-4</v>
      </c>
      <c r="CO107" s="8">
        <f t="shared" si="83"/>
        <v>-1.3231013495633765E-4</v>
      </c>
      <c r="CP107" s="8">
        <f t="shared" si="83"/>
        <v>9.8360655737704918E-4</v>
      </c>
      <c r="CQ107" s="8">
        <f t="shared" si="83"/>
        <v>-1.6694490818030051E-3</v>
      </c>
      <c r="CR107" s="8">
        <f t="shared" si="83"/>
        <v>2.5967281225655674E-4</v>
      </c>
      <c r="CS107" s="8">
        <f t="shared" si="83"/>
        <v>-1.1049723756906078E-3</v>
      </c>
      <c r="CT107" s="8">
        <f t="shared" si="83"/>
        <v>1.5274949083503055E-3</v>
      </c>
      <c r="CU107" s="8">
        <f t="shared" si="83"/>
        <v>7.429420505200594E-4</v>
      </c>
      <c r="CV107" s="8">
        <f t="shared" si="83"/>
        <v>-3.2085561497326204E-3</v>
      </c>
      <c r="CW107" s="8">
        <f t="shared" si="83"/>
        <v>-3.3333333333333335E-3</v>
      </c>
      <c r="CX107" s="8">
        <f t="shared" si="83"/>
        <v>0</v>
      </c>
      <c r="CY107" s="8">
        <f t="shared" si="83"/>
        <v>-4.4444444444444444E-3</v>
      </c>
    </row>
    <row r="108" spans="1:105" x14ac:dyDescent="0.3">
      <c r="A108" s="10">
        <v>2007</v>
      </c>
      <c r="B108" s="8"/>
      <c r="C108" s="8">
        <f t="shared" ref="C108:AH108" si="84">C83/C9</f>
        <v>3.4053566259726548E-5</v>
      </c>
      <c r="D108" s="8">
        <f t="shared" si="84"/>
        <v>-5.1989463468737001E-5</v>
      </c>
      <c r="E108" s="8">
        <f t="shared" si="84"/>
        <v>1.0301844030081384E-4</v>
      </c>
      <c r="F108" s="8">
        <f t="shared" si="84"/>
        <v>-2.9257378883056534E-4</v>
      </c>
      <c r="G108" s="8">
        <f t="shared" si="84"/>
        <v>-8.7714681683420169E-5</v>
      </c>
      <c r="H108" s="8">
        <f t="shared" si="84"/>
        <v>3.4326513799258547E-5</v>
      </c>
      <c r="I108" s="8">
        <f t="shared" si="84"/>
        <v>-3.2969025600448379E-5</v>
      </c>
      <c r="J108" s="8">
        <f t="shared" si="84"/>
        <v>-3.2814320169321889E-5</v>
      </c>
      <c r="K108" s="8">
        <f t="shared" si="84"/>
        <v>-6.6291017567119654E-5</v>
      </c>
      <c r="L108" s="8">
        <f t="shared" si="84"/>
        <v>-1.6134757494594856E-5</v>
      </c>
      <c r="M108" s="8">
        <f t="shared" si="84"/>
        <v>6.310541760010097E-5</v>
      </c>
      <c r="N108" s="8">
        <f t="shared" si="84"/>
        <v>-7.9650810845254409E-5</v>
      </c>
      <c r="O108" s="8">
        <f t="shared" si="84"/>
        <v>-4.7990785769132324E-5</v>
      </c>
      <c r="P108" s="8">
        <f t="shared" si="84"/>
        <v>1.2856568903173965E-4</v>
      </c>
      <c r="Q108" s="8">
        <f t="shared" si="84"/>
        <v>-4.757751169613829E-5</v>
      </c>
      <c r="R108" s="8">
        <f t="shared" si="84"/>
        <v>-1.565361676815428E-5</v>
      </c>
      <c r="S108" s="8">
        <f t="shared" si="84"/>
        <v>1.5643332029722329E-5</v>
      </c>
      <c r="T108" s="8">
        <f t="shared" si="84"/>
        <v>1.1242451496852113E-4</v>
      </c>
      <c r="U108" s="8">
        <f t="shared" si="84"/>
        <v>4.9515572647597672E-5</v>
      </c>
      <c r="V108" s="8">
        <f t="shared" si="84"/>
        <v>1.7357796254187569E-4</v>
      </c>
      <c r="W108" s="8">
        <f t="shared" si="84"/>
        <v>3.0156815440289503E-4</v>
      </c>
      <c r="X108" s="8">
        <f t="shared" si="84"/>
        <v>1.8075991468132028E-4</v>
      </c>
      <c r="Y108" s="8">
        <f t="shared" si="84"/>
        <v>-7.2811999417504001E-5</v>
      </c>
      <c r="Z108" s="8">
        <f t="shared" si="84"/>
        <v>2.175805047867711E-4</v>
      </c>
      <c r="AA108" s="8">
        <f t="shared" si="84"/>
        <v>-7.0528078991448473E-5</v>
      </c>
      <c r="AB108" s="8">
        <f t="shared" si="84"/>
        <v>5.3173576277495173E-5</v>
      </c>
      <c r="AC108" s="8">
        <f t="shared" si="84"/>
        <v>5.2083333333333337E-5</v>
      </c>
      <c r="AD108" s="8">
        <f t="shared" si="84"/>
        <v>-1.7162078670968627E-5</v>
      </c>
      <c r="AE108" s="8">
        <f t="shared" si="84"/>
        <v>-5.1190171487074482E-5</v>
      </c>
      <c r="AF108" s="8">
        <f t="shared" si="84"/>
        <v>-3.9692127152866463E-4</v>
      </c>
      <c r="AG108" s="8">
        <f t="shared" si="84"/>
        <v>3.3103813559322034E-5</v>
      </c>
      <c r="AH108" s="8">
        <f t="shared" si="84"/>
        <v>-1.9012912936702844E-4</v>
      </c>
      <c r="AI108" s="8">
        <f t="shared" ref="AI108:BN108" si="85">AI83/AI9</f>
        <v>-2.2558426324179625E-4</v>
      </c>
      <c r="AJ108" s="8">
        <f t="shared" si="85"/>
        <v>2.961427408010661E-4</v>
      </c>
      <c r="AK108" s="8">
        <f t="shared" si="85"/>
        <v>-1.5614353849647967E-4</v>
      </c>
      <c r="AL108" s="8">
        <f t="shared" si="85"/>
        <v>-3.0849915162733303E-4</v>
      </c>
      <c r="AM108" s="8">
        <f t="shared" si="85"/>
        <v>4.2399231160608286E-5</v>
      </c>
      <c r="AN108" s="8">
        <f t="shared" si="85"/>
        <v>-1.0945859044700152E-4</v>
      </c>
      <c r="AO108" s="8">
        <f t="shared" si="85"/>
        <v>-1.3763677654669328E-5</v>
      </c>
      <c r="AP108" s="8">
        <f t="shared" si="85"/>
        <v>-2.8171791585085852E-5</v>
      </c>
      <c r="AQ108" s="8">
        <f t="shared" si="85"/>
        <v>0</v>
      </c>
      <c r="AR108" s="8">
        <f t="shared" si="85"/>
        <v>-4.2722870976929653E-5</v>
      </c>
      <c r="AS108" s="8">
        <f t="shared" si="85"/>
        <v>1.2978023879563937E-4</v>
      </c>
      <c r="AT108" s="8">
        <f t="shared" si="85"/>
        <v>-1.3486985059417661E-4</v>
      </c>
      <c r="AU108" s="8">
        <f t="shared" si="85"/>
        <v>-1.5292390506483973E-5</v>
      </c>
      <c r="AV108" s="8">
        <f t="shared" si="85"/>
        <v>-7.7368241884071429E-5</v>
      </c>
      <c r="AW108" s="8">
        <f t="shared" si="85"/>
        <v>1.4047574452144597E-4</v>
      </c>
      <c r="AX108" s="8">
        <f t="shared" si="85"/>
        <v>0</v>
      </c>
      <c r="AY108" s="8">
        <f t="shared" si="85"/>
        <v>-1.4071514564017572E-4</v>
      </c>
      <c r="AZ108" s="8">
        <f t="shared" si="85"/>
        <v>1.5869489319833688E-4</v>
      </c>
      <c r="BA108" s="8">
        <f t="shared" si="85"/>
        <v>-1.4118089979293469E-4</v>
      </c>
      <c r="BB108" s="8">
        <f t="shared" si="85"/>
        <v>3.2015367376340643E-5</v>
      </c>
      <c r="BC108" s="8">
        <f t="shared" si="85"/>
        <v>-1.1440525610433759E-4</v>
      </c>
      <c r="BD108" s="8">
        <f t="shared" si="85"/>
        <v>-6.5795966707240844E-5</v>
      </c>
      <c r="BE108" s="8">
        <f t="shared" si="85"/>
        <v>6.6854974845815719E-5</v>
      </c>
      <c r="BF108" s="8">
        <f t="shared" si="85"/>
        <v>-1.7455967322429173E-5</v>
      </c>
      <c r="BG108" s="8">
        <f t="shared" si="85"/>
        <v>1.0270806943065493E-4</v>
      </c>
      <c r="BH108" s="8">
        <f t="shared" si="85"/>
        <v>-1.7079419299743809E-4</v>
      </c>
      <c r="BI108" s="8">
        <f t="shared" si="85"/>
        <v>1.6825669240994059E-5</v>
      </c>
      <c r="BJ108" s="8">
        <f t="shared" si="85"/>
        <v>4.9550739957716701E-5</v>
      </c>
      <c r="BK108" s="8">
        <f t="shared" si="85"/>
        <v>-4.7880490296220631E-5</v>
      </c>
      <c r="BL108" s="8">
        <f t="shared" si="85"/>
        <v>-3.5806359209395589E-5</v>
      </c>
      <c r="BM108" s="8">
        <f t="shared" si="85"/>
        <v>-5.6176619291051063E-5</v>
      </c>
      <c r="BN108" s="8">
        <f t="shared" si="85"/>
        <v>4.252966444094756E-5</v>
      </c>
      <c r="BO108" s="8">
        <f t="shared" ref="BO108:CY108" si="86">BO83/BO9</f>
        <v>-9.2766529836035152E-5</v>
      </c>
      <c r="BP108" s="8">
        <f t="shared" si="86"/>
        <v>-2.6767311758880057E-5</v>
      </c>
      <c r="BQ108" s="8">
        <f t="shared" si="86"/>
        <v>-5.1960198487958224E-5</v>
      </c>
      <c r="BR108" s="8">
        <f t="shared" si="86"/>
        <v>-2.7112026895130682E-5</v>
      </c>
      <c r="BS108" s="8">
        <f t="shared" si="86"/>
        <v>5.6997919575935476E-5</v>
      </c>
      <c r="BT108" s="8">
        <f t="shared" si="86"/>
        <v>6.0587700696758558E-5</v>
      </c>
      <c r="BU108" s="8">
        <f t="shared" si="86"/>
        <v>-9.5407708942882579E-5</v>
      </c>
      <c r="BV108" s="8">
        <f t="shared" si="86"/>
        <v>0</v>
      </c>
      <c r="BW108" s="8">
        <f t="shared" si="86"/>
        <v>-6.8832599118942738E-5</v>
      </c>
      <c r="BX108" s="8">
        <f t="shared" si="86"/>
        <v>-2.4422580420068384E-4</v>
      </c>
      <c r="BY108" s="8">
        <f t="shared" si="86"/>
        <v>3.3412409368839586E-5</v>
      </c>
      <c r="BZ108" s="8">
        <f t="shared" si="86"/>
        <v>-3.4423407917383823E-5</v>
      </c>
      <c r="CA108" s="8">
        <f t="shared" si="86"/>
        <v>1.0369499844457502E-4</v>
      </c>
      <c r="CB108" s="8">
        <f t="shared" si="86"/>
        <v>7.2944780800933699E-5</v>
      </c>
      <c r="CC108" s="8">
        <f t="shared" si="86"/>
        <v>0</v>
      </c>
      <c r="CD108" s="8">
        <f t="shared" si="86"/>
        <v>0</v>
      </c>
      <c r="CE108" s="8">
        <f t="shared" si="86"/>
        <v>-3.9295818924866391E-5</v>
      </c>
      <c r="CF108" s="8">
        <f t="shared" si="86"/>
        <v>0</v>
      </c>
      <c r="CG108" s="8">
        <f t="shared" si="86"/>
        <v>-1.7109371658325848E-4</v>
      </c>
      <c r="CH108" s="8">
        <f t="shared" si="86"/>
        <v>-4.5485558335228565E-5</v>
      </c>
      <c r="CI108" s="8">
        <f t="shared" si="86"/>
        <v>-1.955607705094358E-4</v>
      </c>
      <c r="CJ108" s="8">
        <f t="shared" si="86"/>
        <v>1.0698047606311849E-4</v>
      </c>
      <c r="CK108" s="8">
        <f t="shared" si="86"/>
        <v>1.1272686281140796E-4</v>
      </c>
      <c r="CL108" s="8">
        <f t="shared" si="86"/>
        <v>-1.552312946289972E-4</v>
      </c>
      <c r="CM108" s="8">
        <f t="shared" si="86"/>
        <v>0</v>
      </c>
      <c r="CN108" s="8">
        <f t="shared" si="86"/>
        <v>9.9960015993602559E-5</v>
      </c>
      <c r="CO108" s="8">
        <f t="shared" si="86"/>
        <v>-5.1255766273705791E-4</v>
      </c>
      <c r="CP108" s="8">
        <f t="shared" si="86"/>
        <v>4.7672016526299061E-4</v>
      </c>
      <c r="CQ108" s="8">
        <f t="shared" si="86"/>
        <v>-4.0543279951348065E-4</v>
      </c>
      <c r="CR108" s="8">
        <f t="shared" si="86"/>
        <v>0</v>
      </c>
      <c r="CS108" s="8">
        <f t="shared" si="86"/>
        <v>1.325820351342393E-3</v>
      </c>
      <c r="CT108" s="8">
        <f t="shared" si="86"/>
        <v>-1.9733596447952641E-3</v>
      </c>
      <c r="CU108" s="8">
        <f t="shared" si="86"/>
        <v>-6.9204152249134946E-4</v>
      </c>
      <c r="CV108" s="8">
        <f t="shared" si="86"/>
        <v>1.092896174863388E-3</v>
      </c>
      <c r="CW108" s="8">
        <f t="shared" si="86"/>
        <v>-4.6801872074882997E-3</v>
      </c>
      <c r="CX108" s="8">
        <f t="shared" si="86"/>
        <v>5.0125313283208017E-3</v>
      </c>
      <c r="CY108" s="8">
        <f t="shared" si="86"/>
        <v>0</v>
      </c>
    </row>
    <row r="109" spans="1:105" x14ac:dyDescent="0.3">
      <c r="A109" s="10">
        <v>2008</v>
      </c>
      <c r="B109" s="8"/>
      <c r="C109" s="8">
        <f t="shared" ref="C109:AH109" si="87">C84/C10</f>
        <v>-2.3880597014925374E-4</v>
      </c>
      <c r="D109" s="8">
        <f t="shared" si="87"/>
        <v>-3.0231269209452308E-4</v>
      </c>
      <c r="E109" s="8">
        <f t="shared" si="87"/>
        <v>6.8503707763182688E-5</v>
      </c>
      <c r="F109" s="8">
        <f t="shared" si="87"/>
        <v>-6.8148905358207687E-5</v>
      </c>
      <c r="G109" s="8">
        <f t="shared" si="87"/>
        <v>-1.7079127598162285E-5</v>
      </c>
      <c r="H109" s="8">
        <f t="shared" si="87"/>
        <v>-1.220341346908178E-4</v>
      </c>
      <c r="I109" s="8">
        <f t="shared" si="87"/>
        <v>-8.5316952478457469E-5</v>
      </c>
      <c r="J109" s="8">
        <f t="shared" si="87"/>
        <v>6.55404630433714E-5</v>
      </c>
      <c r="K109" s="8">
        <f t="shared" si="87"/>
        <v>-9.79224128082516E-5</v>
      </c>
      <c r="L109" s="8">
        <f t="shared" si="87"/>
        <v>-1.3181526091183207E-4</v>
      </c>
      <c r="M109" s="8">
        <f t="shared" si="87"/>
        <v>1.1224424347379899E-4</v>
      </c>
      <c r="N109" s="8">
        <f t="shared" si="87"/>
        <v>3.1379440190786998E-5</v>
      </c>
      <c r="O109" s="8">
        <f t="shared" si="87"/>
        <v>-7.918659529314877E-5</v>
      </c>
      <c r="P109" s="8">
        <f t="shared" si="87"/>
        <v>-4.7752451292499681E-5</v>
      </c>
      <c r="Q109" s="8">
        <f t="shared" si="87"/>
        <v>0</v>
      </c>
      <c r="R109" s="8">
        <f t="shared" si="87"/>
        <v>3.156964263164541E-5</v>
      </c>
      <c r="S109" s="8">
        <f t="shared" si="87"/>
        <v>-1.5573898146706121E-5</v>
      </c>
      <c r="T109" s="8">
        <f t="shared" si="87"/>
        <v>3.1084861672365556E-5</v>
      </c>
      <c r="U109" s="8">
        <f t="shared" si="87"/>
        <v>1.4382970562853582E-4</v>
      </c>
      <c r="V109" s="8">
        <f t="shared" si="87"/>
        <v>4.5831764686625308E-4</v>
      </c>
      <c r="W109" s="8">
        <f t="shared" si="87"/>
        <v>3.4341248991225808E-4</v>
      </c>
      <c r="X109" s="8">
        <f t="shared" si="87"/>
        <v>5.4270758565151168E-4</v>
      </c>
      <c r="Y109" s="8">
        <f t="shared" si="87"/>
        <v>2.8392958546280523E-4</v>
      </c>
      <c r="Z109" s="8">
        <f t="shared" si="87"/>
        <v>2.1358013704725459E-4</v>
      </c>
      <c r="AA109" s="8">
        <f t="shared" si="87"/>
        <v>5.293059035251773E-4</v>
      </c>
      <c r="AB109" s="8">
        <f t="shared" si="87"/>
        <v>-2.7419797093501506E-4</v>
      </c>
      <c r="AC109" s="8">
        <f t="shared" si="87"/>
        <v>-1.5431040395034635E-4</v>
      </c>
      <c r="AD109" s="8">
        <f t="shared" si="87"/>
        <v>-4.8747688687174312E-4</v>
      </c>
      <c r="AE109" s="8">
        <f t="shared" si="87"/>
        <v>3.8312899786780384E-4</v>
      </c>
      <c r="AF109" s="8">
        <f t="shared" si="87"/>
        <v>0</v>
      </c>
      <c r="AG109" s="8">
        <f t="shared" si="87"/>
        <v>-2.1889575510616443E-4</v>
      </c>
      <c r="AH109" s="8">
        <f t="shared" si="87"/>
        <v>-4.0476653066511236E-4</v>
      </c>
      <c r="AI109" s="8">
        <f t="shared" ref="AI109:BN109" si="88">AI84/AI10</f>
        <v>1.7096673919801057E-4</v>
      </c>
      <c r="AJ109" s="8">
        <f t="shared" si="88"/>
        <v>-1.1832394137048705E-4</v>
      </c>
      <c r="AK109" s="8">
        <f t="shared" si="88"/>
        <v>1.6048085901027077E-4</v>
      </c>
      <c r="AL109" s="8">
        <f t="shared" si="88"/>
        <v>-1.5406809809935992E-4</v>
      </c>
      <c r="AM109" s="8">
        <f t="shared" si="88"/>
        <v>-1.3849840034347603E-5</v>
      </c>
      <c r="AN109" s="8">
        <f t="shared" si="88"/>
        <v>1.3969797298241202E-5</v>
      </c>
      <c r="AO109" s="8">
        <f t="shared" si="88"/>
        <v>-3.6594787275856928E-4</v>
      </c>
      <c r="AP109" s="8">
        <f t="shared" si="88"/>
        <v>2.3184768970596257E-4</v>
      </c>
      <c r="AQ109" s="8">
        <f t="shared" si="88"/>
        <v>8.377080308276555E-5</v>
      </c>
      <c r="AR109" s="8">
        <f t="shared" si="88"/>
        <v>-1.1165231469204896E-4</v>
      </c>
      <c r="AS109" s="8">
        <f t="shared" si="88"/>
        <v>-2.1202612161818336E-4</v>
      </c>
      <c r="AT109" s="8">
        <f t="shared" si="88"/>
        <v>5.7327944506549715E-5</v>
      </c>
      <c r="AU109" s="8">
        <f t="shared" si="88"/>
        <v>5.9531782530398414E-5</v>
      </c>
      <c r="AV109" s="8">
        <f t="shared" si="88"/>
        <v>-1.2166375180594632E-4</v>
      </c>
      <c r="AW109" s="8">
        <f t="shared" si="88"/>
        <v>-7.6985850000769852E-5</v>
      </c>
      <c r="AX109" s="8">
        <f t="shared" si="88"/>
        <v>7.7686797905563928E-5</v>
      </c>
      <c r="AY109" s="8">
        <f t="shared" si="88"/>
        <v>-1.0829542993285683E-4</v>
      </c>
      <c r="AZ109" s="8">
        <f t="shared" si="88"/>
        <v>1.5602327867317803E-5</v>
      </c>
      <c r="BA109" s="8">
        <f t="shared" si="88"/>
        <v>-6.3319192047109479E-5</v>
      </c>
      <c r="BB109" s="8">
        <f t="shared" si="88"/>
        <v>4.6979235178051301E-5</v>
      </c>
      <c r="BC109" s="8">
        <f t="shared" si="88"/>
        <v>-4.8009986077104038E-5</v>
      </c>
      <c r="BD109" s="8">
        <f t="shared" si="88"/>
        <v>9.8112960722111388E-5</v>
      </c>
      <c r="BE109" s="8">
        <f t="shared" si="88"/>
        <v>-4.9406300950247857E-5</v>
      </c>
      <c r="BF109" s="8">
        <f t="shared" si="88"/>
        <v>-2.1766793918692653E-4</v>
      </c>
      <c r="BG109" s="8">
        <f t="shared" si="88"/>
        <v>1.5754096064976895E-4</v>
      </c>
      <c r="BH109" s="8">
        <f t="shared" si="88"/>
        <v>-6.8715534864544496E-5</v>
      </c>
      <c r="BI109" s="8">
        <f t="shared" si="88"/>
        <v>8.5741232958929956E-5</v>
      </c>
      <c r="BJ109" s="8">
        <f t="shared" si="88"/>
        <v>-1.3526079972947839E-4</v>
      </c>
      <c r="BK109" s="8">
        <f t="shared" si="88"/>
        <v>8.3129665652484748E-5</v>
      </c>
      <c r="BL109" s="8">
        <f t="shared" si="88"/>
        <v>6.4245675462970393E-5</v>
      </c>
      <c r="BM109" s="8">
        <f t="shared" si="88"/>
        <v>-1.6230838593327322E-4</v>
      </c>
      <c r="BN109" s="8">
        <f t="shared" si="88"/>
        <v>1.889394826836964E-5</v>
      </c>
      <c r="BO109" s="8">
        <f t="shared" ref="BO109:CY109" si="89">BO84/BO10</f>
        <v>4.294702484485387E-5</v>
      </c>
      <c r="BP109" s="8">
        <f t="shared" si="89"/>
        <v>-1.1731581417175035E-4</v>
      </c>
      <c r="BQ109" s="8">
        <f t="shared" si="89"/>
        <v>1.3528138528138528E-4</v>
      </c>
      <c r="BR109" s="8">
        <f t="shared" si="89"/>
        <v>-2.6330340451302035E-5</v>
      </c>
      <c r="BS109" s="8">
        <f t="shared" si="89"/>
        <v>-2.7505776213004732E-5</v>
      </c>
      <c r="BT109" s="8">
        <f t="shared" si="89"/>
        <v>-1.7348561515107705E-4</v>
      </c>
      <c r="BU109" s="8">
        <f t="shared" si="89"/>
        <v>-6.1587731723840609E-5</v>
      </c>
      <c r="BV109" s="8">
        <f t="shared" si="89"/>
        <v>3.2336297493936946E-5</v>
      </c>
      <c r="BW109" s="8">
        <f t="shared" si="89"/>
        <v>0</v>
      </c>
      <c r="BX109" s="8">
        <f t="shared" si="89"/>
        <v>-7.0301240816900414E-5</v>
      </c>
      <c r="BY109" s="8">
        <f t="shared" si="89"/>
        <v>-3.5776895281027513E-5</v>
      </c>
      <c r="BZ109" s="8">
        <f t="shared" si="89"/>
        <v>0</v>
      </c>
      <c r="CA109" s="8">
        <f t="shared" si="89"/>
        <v>2.4855306607960798E-4</v>
      </c>
      <c r="CB109" s="8">
        <f t="shared" si="89"/>
        <v>-2.1496900863458851E-4</v>
      </c>
      <c r="CC109" s="8">
        <f t="shared" si="89"/>
        <v>1.5186605414024831E-4</v>
      </c>
      <c r="CD109" s="8">
        <f t="shared" si="89"/>
        <v>-3.8756685528253622E-5</v>
      </c>
      <c r="CE109" s="8">
        <f t="shared" si="89"/>
        <v>8.2815734989648027E-5</v>
      </c>
      <c r="CF109" s="8">
        <f t="shared" si="89"/>
        <v>0</v>
      </c>
      <c r="CG109" s="8">
        <f t="shared" si="89"/>
        <v>1.3376733401703305E-4</v>
      </c>
      <c r="CH109" s="8">
        <f t="shared" si="89"/>
        <v>-1.8430631709901856E-4</v>
      </c>
      <c r="CI109" s="8">
        <f t="shared" si="89"/>
        <v>0</v>
      </c>
      <c r="CJ109" s="8">
        <f t="shared" si="89"/>
        <v>2.6808214036780868E-4</v>
      </c>
      <c r="CK109" s="8">
        <f t="shared" si="89"/>
        <v>-1.1885659951268794E-4</v>
      </c>
      <c r="CL109" s="8">
        <f t="shared" si="89"/>
        <v>-1.9010202141816107E-4</v>
      </c>
      <c r="CM109" s="8">
        <f t="shared" si="89"/>
        <v>1.7683465959328028E-4</v>
      </c>
      <c r="CN109" s="8">
        <f t="shared" si="89"/>
        <v>0</v>
      </c>
      <c r="CO109" s="8">
        <f t="shared" si="89"/>
        <v>-4.7298096251625871E-4</v>
      </c>
      <c r="CP109" s="8">
        <f t="shared" si="89"/>
        <v>4.6439628482972134E-4</v>
      </c>
      <c r="CQ109" s="8">
        <f t="shared" si="89"/>
        <v>3.905487209529389E-4</v>
      </c>
      <c r="CR109" s="8">
        <f t="shared" si="89"/>
        <v>-5.1229508196721314E-4</v>
      </c>
      <c r="CS109" s="8">
        <f t="shared" si="89"/>
        <v>-3.4293552812071328E-4</v>
      </c>
      <c r="CT109" s="8">
        <f t="shared" si="89"/>
        <v>0</v>
      </c>
      <c r="CU109" s="8">
        <f t="shared" si="89"/>
        <v>0</v>
      </c>
      <c r="CV109" s="8">
        <f t="shared" si="89"/>
        <v>-9.8039215686274508E-4</v>
      </c>
      <c r="CW109" s="8">
        <f t="shared" si="89"/>
        <v>-3.2948929159802307E-3</v>
      </c>
      <c r="CX109" s="8">
        <f t="shared" si="89"/>
        <v>4.6296296296296294E-3</v>
      </c>
      <c r="CY109" s="8">
        <f t="shared" si="89"/>
        <v>-4.0000000000000001E-3</v>
      </c>
    </row>
    <row r="110" spans="1:105" x14ac:dyDescent="0.3">
      <c r="A110" s="10">
        <v>2009</v>
      </c>
      <c r="B110" s="8"/>
      <c r="C110" s="8">
        <f t="shared" ref="C110:AH110" si="90">C85/C11</f>
        <v>1.1537257099533566E-4</v>
      </c>
      <c r="D110" s="8">
        <f t="shared" si="90"/>
        <v>-3.0267361694972253E-4</v>
      </c>
      <c r="E110" s="8">
        <f t="shared" si="90"/>
        <v>-2.3236514522821577E-4</v>
      </c>
      <c r="F110" s="8">
        <f t="shared" si="90"/>
        <v>8.4905500178301556E-5</v>
      </c>
      <c r="G110" s="8">
        <f t="shared" si="90"/>
        <v>-1.6898171617830951E-4</v>
      </c>
      <c r="H110" s="8">
        <f t="shared" si="90"/>
        <v>-1.3561390720618399E-4</v>
      </c>
      <c r="I110" s="8">
        <f t="shared" si="90"/>
        <v>1.0383317469931643E-4</v>
      </c>
      <c r="J110" s="8">
        <f t="shared" si="90"/>
        <v>-2.8792087256960912E-4</v>
      </c>
      <c r="K110" s="8">
        <f t="shared" si="90"/>
        <v>3.2552083333333333E-5</v>
      </c>
      <c r="L110" s="8">
        <f t="shared" si="90"/>
        <v>9.7280996157400658E-5</v>
      </c>
      <c r="M110" s="8">
        <f t="shared" si="90"/>
        <v>-1.3089219391678529E-4</v>
      </c>
      <c r="N110" s="8">
        <f t="shared" si="90"/>
        <v>1.1142948105698822E-4</v>
      </c>
      <c r="O110" s="8">
        <f t="shared" si="90"/>
        <v>-6.2378167641325536E-5</v>
      </c>
      <c r="P110" s="8">
        <f t="shared" si="90"/>
        <v>-9.4430192480209006E-5</v>
      </c>
      <c r="Q110" s="8">
        <f t="shared" si="90"/>
        <v>-9.4912680334092639E-5</v>
      </c>
      <c r="R110" s="8">
        <f t="shared" si="90"/>
        <v>1.1127183709803049E-4</v>
      </c>
      <c r="S110" s="8">
        <f t="shared" si="90"/>
        <v>1.7253548741275195E-4</v>
      </c>
      <c r="T110" s="8">
        <f t="shared" si="90"/>
        <v>1.7027600191947494E-4</v>
      </c>
      <c r="U110" s="8">
        <f t="shared" si="90"/>
        <v>6.4860858016493189E-4</v>
      </c>
      <c r="V110" s="8">
        <f t="shared" si="90"/>
        <v>-1.1076825698235621E-4</v>
      </c>
      <c r="W110" s="8">
        <f t="shared" si="90"/>
        <v>1.4577023371827474E-3</v>
      </c>
      <c r="X110" s="8">
        <f t="shared" si="90"/>
        <v>5.0755409680748478E-4</v>
      </c>
      <c r="Y110" s="8">
        <f t="shared" si="90"/>
        <v>7.0333138916526573E-4</v>
      </c>
      <c r="Z110" s="8">
        <f t="shared" si="90"/>
        <v>2.7695077200027695E-4</v>
      </c>
      <c r="AA110" s="8">
        <f t="shared" si="90"/>
        <v>6.9177821590398123E-5</v>
      </c>
      <c r="AB110" s="8">
        <f t="shared" si="90"/>
        <v>-3.4139014065273793E-5</v>
      </c>
      <c r="AC110" s="8">
        <f t="shared" si="90"/>
        <v>1.159343480349128E-4</v>
      </c>
      <c r="AD110" s="8">
        <f t="shared" si="90"/>
        <v>1.8253928743299977E-4</v>
      </c>
      <c r="AE110" s="8">
        <f t="shared" si="90"/>
        <v>-3.9024390243902441E-4</v>
      </c>
      <c r="AF110" s="8">
        <f t="shared" si="90"/>
        <v>8.0827675396055615E-5</v>
      </c>
      <c r="AG110" s="8">
        <f t="shared" si="90"/>
        <v>3.2368220880739289E-5</v>
      </c>
      <c r="AH110" s="8">
        <f t="shared" si="90"/>
        <v>-5.76036866359447E-4</v>
      </c>
      <c r="AI110" s="8">
        <f t="shared" ref="AI110:BN110" si="91">AI85/AI11</f>
        <v>-7.7648363838047697E-4</v>
      </c>
      <c r="AJ110" s="8">
        <f t="shared" si="91"/>
        <v>6.1092019854906446E-5</v>
      </c>
      <c r="AK110" s="8">
        <f t="shared" si="91"/>
        <v>-3.0562347188264059E-4</v>
      </c>
      <c r="AL110" s="8">
        <f t="shared" si="91"/>
        <v>1.5806868802988936E-4</v>
      </c>
      <c r="AM110" s="8">
        <f t="shared" si="91"/>
        <v>-2.2122058457539474E-4</v>
      </c>
      <c r="AN110" s="8">
        <f t="shared" si="91"/>
        <v>-3.0089584900499215E-4</v>
      </c>
      <c r="AO110" s="8">
        <f t="shared" si="91"/>
        <v>-5.5277631906249135E-5</v>
      </c>
      <c r="AP110" s="8">
        <f t="shared" si="91"/>
        <v>-2.4177300201477502E-4</v>
      </c>
      <c r="AQ110" s="8">
        <f t="shared" si="91"/>
        <v>-8.1086559902696122E-5</v>
      </c>
      <c r="AR110" s="8">
        <f t="shared" si="91"/>
        <v>9.6897883473373849E-5</v>
      </c>
      <c r="AS110" s="8">
        <f t="shared" si="91"/>
        <v>-2.2163734589278293E-4</v>
      </c>
      <c r="AT110" s="8">
        <f t="shared" si="91"/>
        <v>5.6175830348992347E-5</v>
      </c>
      <c r="AU110" s="8">
        <f t="shared" si="91"/>
        <v>-1.8518254725716159E-4</v>
      </c>
      <c r="AV110" s="8">
        <f t="shared" si="91"/>
        <v>-4.43675407072186E-5</v>
      </c>
      <c r="AW110" s="8">
        <f t="shared" si="91"/>
        <v>-4.5372050816696912E-5</v>
      </c>
      <c r="AX110" s="8">
        <f t="shared" si="91"/>
        <v>0</v>
      </c>
      <c r="AY110" s="8">
        <f t="shared" si="91"/>
        <v>-6.1921421715842591E-5</v>
      </c>
      <c r="AZ110" s="8">
        <f t="shared" si="91"/>
        <v>-3.08384987818793E-4</v>
      </c>
      <c r="BA110" s="8">
        <f t="shared" si="91"/>
        <v>-3.1113876789047912E-5</v>
      </c>
      <c r="BB110" s="8">
        <f t="shared" si="91"/>
        <v>-1.5810276679841896E-5</v>
      </c>
      <c r="BC110" s="8">
        <f t="shared" si="91"/>
        <v>6.2642904125035243E-5</v>
      </c>
      <c r="BD110" s="8">
        <f t="shared" si="91"/>
        <v>9.6021508817975229E-5</v>
      </c>
      <c r="BE110" s="8">
        <f t="shared" si="91"/>
        <v>-9.8217355006629669E-5</v>
      </c>
      <c r="BF110" s="8">
        <f t="shared" si="91"/>
        <v>-1.3197835554968986E-4</v>
      </c>
      <c r="BG110" s="8">
        <f t="shared" si="91"/>
        <v>5.0354157574943775E-5</v>
      </c>
      <c r="BH110" s="8">
        <f t="shared" si="91"/>
        <v>-3.3363770457259256E-4</v>
      </c>
      <c r="BI110" s="8">
        <f t="shared" si="91"/>
        <v>1.2082714813408361E-4</v>
      </c>
      <c r="BJ110" s="8">
        <f t="shared" si="91"/>
        <v>1.5504143051559889E-4</v>
      </c>
      <c r="BK110" s="8">
        <f t="shared" si="91"/>
        <v>-1.5312111880497474E-4</v>
      </c>
      <c r="BL110" s="8">
        <f t="shared" si="91"/>
        <v>-3.3455445710175477E-5</v>
      </c>
      <c r="BM110" s="8">
        <f t="shared" si="91"/>
        <v>-8.095461684179849E-5</v>
      </c>
      <c r="BN110" s="8">
        <f t="shared" si="91"/>
        <v>1.8217259031206166E-4</v>
      </c>
      <c r="BO110" s="8">
        <f t="shared" ref="BO110:CY110" si="92">BO85/BO11</f>
        <v>-1.3346807253036399E-4</v>
      </c>
      <c r="BP110" s="8">
        <f t="shared" si="92"/>
        <v>1.3018290698431297E-4</v>
      </c>
      <c r="BQ110" s="8">
        <f t="shared" si="92"/>
        <v>-2.3747892374551757E-5</v>
      </c>
      <c r="BR110" s="8">
        <f t="shared" si="92"/>
        <v>-1.36986301369863E-4</v>
      </c>
      <c r="BS110" s="8">
        <f t="shared" si="92"/>
        <v>0</v>
      </c>
      <c r="BT110" s="8">
        <f t="shared" si="92"/>
        <v>5.5797344046423391E-5</v>
      </c>
      <c r="BU110" s="8">
        <f t="shared" si="92"/>
        <v>2.9325513196480938E-5</v>
      </c>
      <c r="BV110" s="8">
        <f t="shared" si="92"/>
        <v>-3.1342067322760606E-5</v>
      </c>
      <c r="BW110" s="8">
        <f t="shared" si="92"/>
        <v>-9.8908707263196071E-5</v>
      </c>
      <c r="BX110" s="8">
        <f t="shared" si="92"/>
        <v>3.513086246267346E-5</v>
      </c>
      <c r="BY110" s="8">
        <f t="shared" si="92"/>
        <v>-7.1932096101280391E-5</v>
      </c>
      <c r="BZ110" s="8">
        <f t="shared" si="92"/>
        <v>-3.6776874701187893E-5</v>
      </c>
      <c r="CA110" s="8">
        <f t="shared" si="92"/>
        <v>7.0783932047425232E-5</v>
      </c>
      <c r="CB110" s="8">
        <f t="shared" si="92"/>
        <v>2.9390154298310065E-4</v>
      </c>
      <c r="CC110" s="8">
        <f t="shared" si="92"/>
        <v>-1.8649061952183806E-4</v>
      </c>
      <c r="CD110" s="8">
        <f t="shared" si="92"/>
        <v>0</v>
      </c>
      <c r="CE110" s="8">
        <f t="shared" si="92"/>
        <v>1.6268098259313485E-4</v>
      </c>
      <c r="CF110" s="8">
        <f t="shared" si="92"/>
        <v>-8.7615542997327732E-5</v>
      </c>
      <c r="CG110" s="8">
        <f t="shared" si="92"/>
        <v>0</v>
      </c>
      <c r="CH110" s="8">
        <f t="shared" si="92"/>
        <v>3.3488016074247718E-4</v>
      </c>
      <c r="CI110" s="8">
        <f t="shared" si="92"/>
        <v>-2.9992501874531366E-4</v>
      </c>
      <c r="CJ110" s="8">
        <f t="shared" si="92"/>
        <v>4.8717115946735951E-4</v>
      </c>
      <c r="CK110" s="8">
        <f t="shared" si="92"/>
        <v>-3.5553448684522398E-4</v>
      </c>
      <c r="CL110" s="8">
        <f t="shared" si="92"/>
        <v>0</v>
      </c>
      <c r="CM110" s="8">
        <f t="shared" si="92"/>
        <v>3.6088054853843375E-4</v>
      </c>
      <c r="CN110" s="8">
        <f t="shared" si="92"/>
        <v>2.025111381125962E-4</v>
      </c>
      <c r="CO110" s="8">
        <f t="shared" si="92"/>
        <v>-6.9428373061791249E-4</v>
      </c>
      <c r="CP110" s="8">
        <f t="shared" si="92"/>
        <v>-4.2716787697565144E-4</v>
      </c>
      <c r="CQ110" s="8">
        <f t="shared" si="92"/>
        <v>5.7792332883837411E-4</v>
      </c>
      <c r="CR110" s="8">
        <f t="shared" si="92"/>
        <v>-9.765625E-4</v>
      </c>
      <c r="CS110" s="8">
        <f t="shared" si="92"/>
        <v>6.6115702479338848E-4</v>
      </c>
      <c r="CT110" s="8">
        <f t="shared" si="92"/>
        <v>-8.9887640449438206E-4</v>
      </c>
      <c r="CU110" s="8">
        <f t="shared" si="92"/>
        <v>6.0679611650485432E-4</v>
      </c>
      <c r="CV110" s="8">
        <f t="shared" si="92"/>
        <v>0</v>
      </c>
      <c r="CW110" s="8">
        <f t="shared" si="92"/>
        <v>-1.4306151645207439E-3</v>
      </c>
      <c r="CX110" s="8">
        <f t="shared" si="92"/>
        <v>2.4449877750611247E-3</v>
      </c>
      <c r="CY110" s="8">
        <f t="shared" si="92"/>
        <v>-3.6764705882352941E-3</v>
      </c>
    </row>
    <row r="111" spans="1:105" x14ac:dyDescent="0.3">
      <c r="A111" s="10">
        <v>2010</v>
      </c>
      <c r="B111" s="8"/>
      <c r="C111" s="8">
        <f t="shared" ref="C111:AH111" si="93">C86/C12</f>
        <v>-1.7401392111368909E-3</v>
      </c>
      <c r="D111" s="8">
        <f t="shared" si="93"/>
        <v>-2.5990058802508043E-4</v>
      </c>
      <c r="E111" s="8">
        <f t="shared" si="93"/>
        <v>1.9950788056128217E-4</v>
      </c>
      <c r="F111" s="8">
        <f t="shared" si="93"/>
        <v>-2.4668618228464298E-4</v>
      </c>
      <c r="G111" s="8">
        <f t="shared" si="93"/>
        <v>-1.6849767473208871E-4</v>
      </c>
      <c r="H111" s="8">
        <f t="shared" si="93"/>
        <v>1.3407296921349445E-4</v>
      </c>
      <c r="I111" s="8">
        <f t="shared" si="93"/>
        <v>-1.6849199663016007E-4</v>
      </c>
      <c r="J111" s="8">
        <f t="shared" si="93"/>
        <v>-1.031441783706658E-4</v>
      </c>
      <c r="K111" s="8">
        <f t="shared" si="93"/>
        <v>5.0477007722982184E-5</v>
      </c>
      <c r="L111" s="8">
        <f t="shared" si="93"/>
        <v>1.6168148746968473E-5</v>
      </c>
      <c r="M111" s="8">
        <f t="shared" si="93"/>
        <v>-2.0935325946920896E-4</v>
      </c>
      <c r="N111" s="8">
        <f t="shared" si="93"/>
        <v>1.6253555465258027E-5</v>
      </c>
      <c r="O111" s="8">
        <f t="shared" si="93"/>
        <v>-7.9087644928109327E-5</v>
      </c>
      <c r="P111" s="8">
        <f t="shared" si="93"/>
        <v>1.0848676461471701E-4</v>
      </c>
      <c r="Q111" s="8">
        <f t="shared" si="93"/>
        <v>4.6905781919384593E-5</v>
      </c>
      <c r="R111" s="8">
        <f t="shared" si="93"/>
        <v>-1.2575255041891319E-4</v>
      </c>
      <c r="S111" s="8">
        <f t="shared" si="93"/>
        <v>3.3106840503854584E-4</v>
      </c>
      <c r="T111" s="8">
        <f t="shared" si="93"/>
        <v>5.5915381389497231E-4</v>
      </c>
      <c r="U111" s="8">
        <f t="shared" si="93"/>
        <v>3.8348851835376049E-4</v>
      </c>
      <c r="V111" s="8">
        <f t="shared" si="93"/>
        <v>4.7393364928909954E-4</v>
      </c>
      <c r="W111" s="8">
        <f t="shared" si="93"/>
        <v>1.5205668422372711E-3</v>
      </c>
      <c r="X111" s="8">
        <f t="shared" si="93"/>
        <v>4.6317739694302917E-4</v>
      </c>
      <c r="Y111" s="8">
        <f t="shared" si="93"/>
        <v>4.8233650455724834E-4</v>
      </c>
      <c r="Z111" s="8">
        <f t="shared" si="93"/>
        <v>1.1735515021459227E-4</v>
      </c>
      <c r="AA111" s="8">
        <f t="shared" si="93"/>
        <v>1.2302195857698984E-3</v>
      </c>
      <c r="AB111" s="8">
        <f t="shared" si="93"/>
        <v>-4.6912959705118539E-4</v>
      </c>
      <c r="AC111" s="8">
        <f t="shared" si="93"/>
        <v>2.3145086628752811E-4</v>
      </c>
      <c r="AD111" s="8">
        <f t="shared" si="93"/>
        <v>-3.8642364912732659E-4</v>
      </c>
      <c r="AE111" s="8">
        <f t="shared" si="93"/>
        <v>-6.4735394076711445E-5</v>
      </c>
      <c r="AF111" s="8">
        <f t="shared" si="93"/>
        <v>-6.3459829927655791E-5</v>
      </c>
      <c r="AG111" s="8">
        <f t="shared" si="93"/>
        <v>-7.9207920792079211E-5</v>
      </c>
      <c r="AH111" s="8">
        <f t="shared" si="93"/>
        <v>-1.0004287551807919E-3</v>
      </c>
      <c r="AI111" s="8">
        <f t="shared" ref="AI111:BN111" si="94">AI86/AI12</f>
        <v>-6.156538081428317E-4</v>
      </c>
      <c r="AJ111" s="8">
        <f t="shared" si="94"/>
        <v>2.1888338206094339E-4</v>
      </c>
      <c r="AK111" s="8">
        <f t="shared" si="94"/>
        <v>-3.314451006387851E-4</v>
      </c>
      <c r="AL111" s="8">
        <f t="shared" si="94"/>
        <v>-3.8858425801994735E-4</v>
      </c>
      <c r="AM111" s="8">
        <f t="shared" si="94"/>
        <v>3.7002775208140609E-4</v>
      </c>
      <c r="AN111" s="8">
        <f t="shared" si="94"/>
        <v>-3.2905561039815728E-4</v>
      </c>
      <c r="AO111" s="8">
        <f t="shared" si="94"/>
        <v>-4.0729326472704566E-5</v>
      </c>
      <c r="AP111" s="8">
        <f t="shared" si="94"/>
        <v>-2.3299799895836189E-4</v>
      </c>
      <c r="AQ111" s="8">
        <f t="shared" si="94"/>
        <v>-2.0028574099047975E-4</v>
      </c>
      <c r="AR111" s="8">
        <f t="shared" si="94"/>
        <v>1.3437789752341535E-5</v>
      </c>
      <c r="AS111" s="8">
        <f t="shared" si="94"/>
        <v>-1.789253468399031E-4</v>
      </c>
      <c r="AT111" s="8">
        <f t="shared" si="94"/>
        <v>-1.3786447921692975E-4</v>
      </c>
      <c r="AU111" s="8">
        <f t="shared" si="94"/>
        <v>1.3982493917615145E-5</v>
      </c>
      <c r="AV111" s="8">
        <f t="shared" si="94"/>
        <v>0</v>
      </c>
      <c r="AW111" s="8">
        <f t="shared" si="94"/>
        <v>-2.8015747799289283E-4</v>
      </c>
      <c r="AX111" s="8">
        <f t="shared" si="94"/>
        <v>2.8653295128939826E-4</v>
      </c>
      <c r="AY111" s="8">
        <f t="shared" si="94"/>
        <v>-2.600263085441586E-4</v>
      </c>
      <c r="AZ111" s="8">
        <f t="shared" si="94"/>
        <v>-2.1650712153781915E-4</v>
      </c>
      <c r="BA111" s="8">
        <f t="shared" si="94"/>
        <v>-7.6978738472433913E-5</v>
      </c>
      <c r="BB111" s="8">
        <f t="shared" si="94"/>
        <v>-1.0883761427949499E-4</v>
      </c>
      <c r="BC111" s="8">
        <f t="shared" si="94"/>
        <v>9.4963755499984179E-5</v>
      </c>
      <c r="BD111" s="8">
        <f t="shared" si="94"/>
        <v>-9.4029149036201217E-5</v>
      </c>
      <c r="BE111" s="8">
        <f t="shared" si="94"/>
        <v>-3.2083159549552441E-4</v>
      </c>
      <c r="BF111" s="8">
        <f t="shared" si="94"/>
        <v>1.1478608792614336E-4</v>
      </c>
      <c r="BG111" s="8">
        <f t="shared" si="94"/>
        <v>-9.9319660326761683E-5</v>
      </c>
      <c r="BH111" s="8">
        <f t="shared" si="94"/>
        <v>8.4141087775982764E-5</v>
      </c>
      <c r="BI111" s="8">
        <f t="shared" si="94"/>
        <v>-1.410984514444954E-4</v>
      </c>
      <c r="BJ111" s="8">
        <f t="shared" si="94"/>
        <v>1.3865058319901559E-4</v>
      </c>
      <c r="BK111" s="8">
        <f t="shared" si="94"/>
        <v>-6.9241288580380482E-5</v>
      </c>
      <c r="BL111" s="8">
        <f t="shared" si="94"/>
        <v>-5.1353155651414779E-5</v>
      </c>
      <c r="BM111" s="8">
        <f t="shared" si="94"/>
        <v>1.6841821611425491E-5</v>
      </c>
      <c r="BN111" s="8">
        <f t="shared" si="94"/>
        <v>-4.8993189946597422E-5</v>
      </c>
      <c r="BO111" s="8">
        <f t="shared" ref="BO111:CY111" si="95">BO86/BO12</f>
        <v>-7.354969201066471E-5</v>
      </c>
      <c r="BP111" s="8">
        <f t="shared" si="95"/>
        <v>1.5402387370042357E-4</v>
      </c>
      <c r="BQ111" s="8">
        <f t="shared" si="95"/>
        <v>-2.1934634788330774E-5</v>
      </c>
      <c r="BR111" s="8">
        <f t="shared" si="95"/>
        <v>-1.4421690222094028E-4</v>
      </c>
      <c r="BS111" s="8">
        <f t="shared" si="95"/>
        <v>-2.2220370524678499E-4</v>
      </c>
      <c r="BT111" s="8">
        <f t="shared" si="95"/>
        <v>1.8957859386848662E-4</v>
      </c>
      <c r="BU111" s="8">
        <f t="shared" si="95"/>
        <v>-1.4169925749589073E-4</v>
      </c>
      <c r="BV111" s="8">
        <f t="shared" si="95"/>
        <v>0</v>
      </c>
      <c r="BW111" s="8">
        <f t="shared" si="95"/>
        <v>0</v>
      </c>
      <c r="BX111" s="8">
        <f t="shared" si="95"/>
        <v>-1.6814070013787538E-4</v>
      </c>
      <c r="BY111" s="8">
        <f t="shared" si="95"/>
        <v>4.3135986196484415E-4</v>
      </c>
      <c r="BZ111" s="8">
        <f t="shared" si="95"/>
        <v>-2.9529012254540088E-4</v>
      </c>
      <c r="CA111" s="8">
        <f t="shared" si="95"/>
        <v>-3.7855844942459115E-5</v>
      </c>
      <c r="CB111" s="8">
        <f t="shared" si="95"/>
        <v>7.3056691992986553E-5</v>
      </c>
      <c r="CC111" s="8">
        <f t="shared" si="95"/>
        <v>-1.1434669919194999E-4</v>
      </c>
      <c r="CD111" s="8">
        <f t="shared" si="95"/>
        <v>0</v>
      </c>
      <c r="CE111" s="8">
        <f t="shared" si="95"/>
        <v>2.5073129962390308E-4</v>
      </c>
      <c r="CF111" s="8">
        <f t="shared" si="95"/>
        <v>1.7167381974248928E-4</v>
      </c>
      <c r="CG111" s="8">
        <f t="shared" si="95"/>
        <v>-4.6550600502746487E-5</v>
      </c>
      <c r="CH111" s="8">
        <f t="shared" si="95"/>
        <v>-1.4199166982203711E-4</v>
      </c>
      <c r="CI111" s="8">
        <f t="shared" si="95"/>
        <v>1.5535187199005747E-4</v>
      </c>
      <c r="CJ111" s="8">
        <f t="shared" si="95"/>
        <v>5.4629882545752524E-5</v>
      </c>
      <c r="CK111" s="8">
        <f t="shared" si="95"/>
        <v>1.2012012012012012E-4</v>
      </c>
      <c r="CL111" s="8">
        <f t="shared" si="95"/>
        <v>-1.9860973187686197E-4</v>
      </c>
      <c r="CM111" s="8">
        <f t="shared" si="95"/>
        <v>1.5229972586049346E-4</v>
      </c>
      <c r="CN111" s="8">
        <f t="shared" si="95"/>
        <v>8.3166999334664007E-5</v>
      </c>
      <c r="CO111" s="8">
        <f t="shared" si="95"/>
        <v>2.3775558725630053E-4</v>
      </c>
      <c r="CP111" s="8">
        <f t="shared" si="95"/>
        <v>-1.3791201213625708E-4</v>
      </c>
      <c r="CQ111" s="8">
        <f t="shared" si="95"/>
        <v>5.2603892688058915E-4</v>
      </c>
      <c r="CR111" s="8">
        <f t="shared" si="95"/>
        <v>-4.7996160307175426E-4</v>
      </c>
      <c r="CS111" s="8">
        <f t="shared" si="95"/>
        <v>-6.2794348508634224E-4</v>
      </c>
      <c r="CT111" s="8">
        <f t="shared" si="95"/>
        <v>-4.3215211754537599E-4</v>
      </c>
      <c r="CU111" s="8">
        <f t="shared" si="95"/>
        <v>0</v>
      </c>
      <c r="CV111" s="8">
        <f t="shared" si="95"/>
        <v>-8.5689802913453304E-4</v>
      </c>
      <c r="CW111" s="8">
        <f t="shared" si="95"/>
        <v>0</v>
      </c>
      <c r="CX111" s="8">
        <f t="shared" si="95"/>
        <v>0</v>
      </c>
      <c r="CY111" s="8">
        <f t="shared" si="95"/>
        <v>0</v>
      </c>
    </row>
    <row r="112" spans="1:105" x14ac:dyDescent="0.3">
      <c r="A112" s="10">
        <v>2011</v>
      </c>
      <c r="B112" s="8"/>
      <c r="C112" s="8">
        <f t="shared" ref="C112:AH112" si="96">C87/C13</f>
        <v>-2.5627716862388892E-3</v>
      </c>
      <c r="D112" s="8">
        <f t="shared" si="96"/>
        <v>-3.3353981035879352E-4</v>
      </c>
      <c r="E112" s="8">
        <f t="shared" si="96"/>
        <v>-1.6060129123438152E-4</v>
      </c>
      <c r="F112" s="8">
        <f t="shared" si="96"/>
        <v>-3.2913142217687525E-5</v>
      </c>
      <c r="G112" s="8">
        <f t="shared" si="96"/>
        <v>-8.1724718458344906E-5</v>
      </c>
      <c r="H112" s="8">
        <f t="shared" si="96"/>
        <v>-1.00418410041841E-4</v>
      </c>
      <c r="I112" s="8">
        <f t="shared" si="96"/>
        <v>-1.665861500274867E-5</v>
      </c>
      <c r="J112" s="8">
        <f t="shared" si="96"/>
        <v>-2.5128995510286136E-4</v>
      </c>
      <c r="K112" s="8">
        <f t="shared" si="96"/>
        <v>1.3667036815580421E-4</v>
      </c>
      <c r="L112" s="8">
        <f t="shared" si="96"/>
        <v>-6.691984675355093E-5</v>
      </c>
      <c r="M112" s="8">
        <f t="shared" si="96"/>
        <v>6.4295243759342904E-5</v>
      </c>
      <c r="N112" s="8">
        <f t="shared" si="96"/>
        <v>0</v>
      </c>
      <c r="O112" s="8">
        <f t="shared" si="96"/>
        <v>-1.4538875337221136E-4</v>
      </c>
      <c r="P112" s="8">
        <f t="shared" si="96"/>
        <v>1.7301582308345653E-4</v>
      </c>
      <c r="Q112" s="8">
        <f t="shared" si="96"/>
        <v>-2.1565999661105721E-4</v>
      </c>
      <c r="R112" s="8">
        <f t="shared" si="96"/>
        <v>0</v>
      </c>
      <c r="S112" s="8">
        <f t="shared" si="96"/>
        <v>2.9625933606723529E-4</v>
      </c>
      <c r="T112" s="8">
        <f t="shared" si="96"/>
        <v>7.1632122335207188E-4</v>
      </c>
      <c r="U112" s="8">
        <f t="shared" si="96"/>
        <v>9.5393420931162872E-4</v>
      </c>
      <c r="V112" s="8">
        <f t="shared" si="96"/>
        <v>1.6675509740013644E-4</v>
      </c>
      <c r="W112" s="8">
        <f t="shared" si="96"/>
        <v>4.8219640462305804E-4</v>
      </c>
      <c r="X112" s="8">
        <f t="shared" si="96"/>
        <v>5.6914320873711736E-4</v>
      </c>
      <c r="Y112" s="8">
        <f t="shared" si="96"/>
        <v>2.9649974251338149E-4</v>
      </c>
      <c r="Z112" s="8">
        <f t="shared" si="96"/>
        <v>6.4638107396215442E-5</v>
      </c>
      <c r="AA112" s="8">
        <f t="shared" si="96"/>
        <v>4.0532434053729794E-4</v>
      </c>
      <c r="AB112" s="8">
        <f t="shared" si="96"/>
        <v>9.7686459028670976E-5</v>
      </c>
      <c r="AC112" s="8">
        <f t="shared" si="96"/>
        <v>4.528692501779129E-4</v>
      </c>
      <c r="AD112" s="8">
        <f t="shared" si="96"/>
        <v>7.6787713965765472E-4</v>
      </c>
      <c r="AE112" s="8">
        <f t="shared" si="96"/>
        <v>-6.4072511329895299E-4</v>
      </c>
      <c r="AF112" s="8">
        <f t="shared" si="96"/>
        <v>-6.7865090513091644E-4</v>
      </c>
      <c r="AG112" s="8">
        <f t="shared" si="96"/>
        <v>-4.1884491879062407E-4</v>
      </c>
      <c r="AH112" s="8">
        <f t="shared" si="96"/>
        <v>-7.0067264573991028E-4</v>
      </c>
      <c r="AI112" s="8">
        <f t="shared" ref="AI112:BN112" si="97">AI87/AI13</f>
        <v>-3.4340123312260983E-4</v>
      </c>
      <c r="AJ112" s="8">
        <f t="shared" si="97"/>
        <v>3.9786743057213339E-4</v>
      </c>
      <c r="AK112" s="8">
        <f t="shared" si="97"/>
        <v>-2.6198989027246948E-4</v>
      </c>
      <c r="AL112" s="8">
        <f t="shared" si="97"/>
        <v>-3.275905713477374E-4</v>
      </c>
      <c r="AM112" s="8">
        <f t="shared" si="97"/>
        <v>-2.9875376998804985E-4</v>
      </c>
      <c r="AN112" s="8">
        <f t="shared" si="97"/>
        <v>-1.4106162982607101E-5</v>
      </c>
      <c r="AO112" s="8">
        <f t="shared" si="97"/>
        <v>-1.4961508120018497E-4</v>
      </c>
      <c r="AP112" s="8">
        <f t="shared" si="97"/>
        <v>-2.2918155223317202E-4</v>
      </c>
      <c r="AQ112" s="8">
        <f t="shared" si="97"/>
        <v>-5.4461039933557531E-5</v>
      </c>
      <c r="AR112" s="8">
        <f t="shared" si="97"/>
        <v>6.6356120024949899E-5</v>
      </c>
      <c r="AS112" s="8">
        <f t="shared" si="97"/>
        <v>-3.0732228754676641E-4</v>
      </c>
      <c r="AT112" s="8">
        <f t="shared" si="97"/>
        <v>2.328639526601282E-4</v>
      </c>
      <c r="AU112" s="8">
        <f t="shared" si="97"/>
        <v>-3.1575623618566466E-4</v>
      </c>
      <c r="AV112" s="8">
        <f t="shared" si="97"/>
        <v>-1.3932039511264054E-5</v>
      </c>
      <c r="AW112" s="8">
        <f t="shared" si="97"/>
        <v>-7.0626456670668834E-5</v>
      </c>
      <c r="AX112" s="8">
        <f t="shared" si="97"/>
        <v>0</v>
      </c>
      <c r="AY112" s="8">
        <f t="shared" si="97"/>
        <v>-7.5202671198880983E-5</v>
      </c>
      <c r="AZ112" s="8">
        <f t="shared" si="97"/>
        <v>0</v>
      </c>
      <c r="BA112" s="8">
        <f t="shared" si="97"/>
        <v>-1.6990253772608622E-4</v>
      </c>
      <c r="BB112" s="8">
        <f t="shared" si="97"/>
        <v>7.6977553345444462E-5</v>
      </c>
      <c r="BC112" s="8">
        <f t="shared" si="97"/>
        <v>-1.7101990049751245E-4</v>
      </c>
      <c r="BD112" s="8">
        <f t="shared" si="97"/>
        <v>-1.5839827662675031E-4</v>
      </c>
      <c r="BE112" s="8">
        <f t="shared" si="97"/>
        <v>1.569464498713039E-4</v>
      </c>
      <c r="BF112" s="8">
        <f t="shared" si="97"/>
        <v>-1.4468522924570768E-4</v>
      </c>
      <c r="BG112" s="8">
        <f t="shared" si="97"/>
        <v>-1.6442230224107596E-5</v>
      </c>
      <c r="BH112" s="8">
        <f t="shared" si="97"/>
        <v>0</v>
      </c>
      <c r="BI112" s="8">
        <f t="shared" si="97"/>
        <v>-1.6891606560699989E-4</v>
      </c>
      <c r="BJ112" s="8">
        <f t="shared" si="97"/>
        <v>1.0633772862611655E-4</v>
      </c>
      <c r="BK112" s="8">
        <f t="shared" si="97"/>
        <v>-3.484259856100068E-5</v>
      </c>
      <c r="BL112" s="8">
        <f t="shared" si="97"/>
        <v>-5.2249333820993784E-5</v>
      </c>
      <c r="BM112" s="8">
        <f t="shared" si="97"/>
        <v>-3.4478597410657332E-5</v>
      </c>
      <c r="BN112" s="8">
        <f t="shared" si="97"/>
        <v>0</v>
      </c>
      <c r="BO112" s="8">
        <f t="shared" ref="BO112:CY112" si="98">BO87/BO13</f>
        <v>-9.8819111616186566E-5</v>
      </c>
      <c r="BP112" s="8">
        <f t="shared" si="98"/>
        <v>-1.8570791858564851E-5</v>
      </c>
      <c r="BQ112" s="8">
        <f t="shared" si="98"/>
        <v>-7.7884652829160009E-5</v>
      </c>
      <c r="BR112" s="8">
        <f t="shared" si="98"/>
        <v>1.7765933821896514E-4</v>
      </c>
      <c r="BS112" s="8">
        <f t="shared" si="98"/>
        <v>-7.3056691992986553E-5</v>
      </c>
      <c r="BT112" s="8">
        <f t="shared" si="98"/>
        <v>8.4585671187300865E-5</v>
      </c>
      <c r="BU112" s="8">
        <f t="shared" si="98"/>
        <v>-1.0986596352450011E-4</v>
      </c>
      <c r="BV112" s="8">
        <f t="shared" si="98"/>
        <v>1.7304031839418584E-4</v>
      </c>
      <c r="BW112" s="8">
        <f t="shared" si="98"/>
        <v>1.2146978439113271E-4</v>
      </c>
      <c r="BX112" s="8">
        <f t="shared" si="98"/>
        <v>-2.2797589969060413E-4</v>
      </c>
      <c r="BY112" s="8">
        <f t="shared" si="98"/>
        <v>3.4412746481296673E-5</v>
      </c>
      <c r="BZ112" s="8">
        <f t="shared" si="98"/>
        <v>-1.8437258010988605E-4</v>
      </c>
      <c r="CA112" s="8">
        <f t="shared" si="98"/>
        <v>7.6062980147562184E-5</v>
      </c>
      <c r="CB112" s="8">
        <f t="shared" si="98"/>
        <v>-3.9135879774577331E-5</v>
      </c>
      <c r="CC112" s="8">
        <f t="shared" si="98"/>
        <v>-7.5691632290050332E-5</v>
      </c>
      <c r="CD112" s="8">
        <f t="shared" si="98"/>
        <v>1.1924162327596486E-4</v>
      </c>
      <c r="CE112" s="8">
        <f t="shared" si="98"/>
        <v>0</v>
      </c>
      <c r="CF112" s="8">
        <f t="shared" si="98"/>
        <v>4.4132574253056182E-5</v>
      </c>
      <c r="CG112" s="8">
        <f t="shared" si="98"/>
        <v>9.1012514220705352E-5</v>
      </c>
      <c r="CH112" s="8">
        <f t="shared" si="98"/>
        <v>1.4951407924246199E-4</v>
      </c>
      <c r="CI112" s="8">
        <f t="shared" si="98"/>
        <v>0</v>
      </c>
      <c r="CJ112" s="8">
        <f t="shared" si="98"/>
        <v>3.3776176536816035E-4</v>
      </c>
      <c r="CK112" s="8">
        <f t="shared" si="98"/>
        <v>-5.4151624548736462E-4</v>
      </c>
      <c r="CL112" s="8">
        <f t="shared" si="98"/>
        <v>2.6806058169146228E-4</v>
      </c>
      <c r="CM112" s="8">
        <f t="shared" si="98"/>
        <v>-7.4889537931550968E-5</v>
      </c>
      <c r="CN112" s="8">
        <f t="shared" si="98"/>
        <v>-4.3813529617946022E-4</v>
      </c>
      <c r="CO112" s="8">
        <f t="shared" si="98"/>
        <v>3.8940809968847351E-4</v>
      </c>
      <c r="CP112" s="8">
        <f t="shared" si="98"/>
        <v>2.8485970659450219E-4</v>
      </c>
      <c r="CQ112" s="8">
        <f t="shared" si="98"/>
        <v>-5.0462573591253152E-4</v>
      </c>
      <c r="CR112" s="8">
        <f t="shared" si="98"/>
        <v>6.6050198150594452E-4</v>
      </c>
      <c r="CS112" s="8">
        <f t="shared" si="98"/>
        <v>-6.1881188118811882E-4</v>
      </c>
      <c r="CT112" s="8">
        <f t="shared" si="98"/>
        <v>-4.1237113402061858E-4</v>
      </c>
      <c r="CU112" s="8">
        <f t="shared" si="98"/>
        <v>1.1799410029498525E-3</v>
      </c>
      <c r="CV112" s="8">
        <f t="shared" si="98"/>
        <v>-1.7376194613379669E-3</v>
      </c>
      <c r="CW112" s="8">
        <f t="shared" si="98"/>
        <v>-1.2547051442910915E-3</v>
      </c>
      <c r="CX112" s="8">
        <f t="shared" si="98"/>
        <v>1.9342359767891683E-3</v>
      </c>
      <c r="CY112" s="8">
        <f t="shared" si="98"/>
        <v>0</v>
      </c>
    </row>
    <row r="113" spans="1:104" x14ac:dyDescent="0.3">
      <c r="A113" s="10">
        <v>2012</v>
      </c>
      <c r="B113" s="8"/>
      <c r="C113" s="8">
        <f t="shared" ref="C113:AH113" si="99">C88/C14</f>
        <v>-2.8611120299011014E-3</v>
      </c>
      <c r="D113" s="8">
        <f t="shared" si="99"/>
        <v>1.5994625805729276E-5</v>
      </c>
      <c r="E113" s="8">
        <f t="shared" si="99"/>
        <v>0</v>
      </c>
      <c r="F113" s="8">
        <f t="shared" si="99"/>
        <v>3.1842063365706099E-5</v>
      </c>
      <c r="G113" s="8">
        <f t="shared" si="99"/>
        <v>-6.529865974500873E-5</v>
      </c>
      <c r="H113" s="8">
        <f t="shared" si="99"/>
        <v>-8.1075383891942722E-5</v>
      </c>
      <c r="I113" s="8">
        <f t="shared" si="99"/>
        <v>-9.9800399201596801E-5</v>
      </c>
      <c r="J113" s="8">
        <f t="shared" si="99"/>
        <v>8.2736253371502329E-5</v>
      </c>
      <c r="K113" s="8">
        <f t="shared" si="99"/>
        <v>0</v>
      </c>
      <c r="L113" s="8">
        <f t="shared" si="99"/>
        <v>1.5297017081669076E-4</v>
      </c>
      <c r="M113" s="8">
        <f t="shared" si="99"/>
        <v>-1.9964064683569574E-4</v>
      </c>
      <c r="N113" s="8">
        <f t="shared" si="99"/>
        <v>1.5981589209230964E-5</v>
      </c>
      <c r="O113" s="8">
        <f t="shared" si="99"/>
        <v>3.1825342520248873E-5</v>
      </c>
      <c r="P113" s="8">
        <f t="shared" si="99"/>
        <v>-9.6408773198361053E-5</v>
      </c>
      <c r="Q113" s="8">
        <f t="shared" si="99"/>
        <v>7.8148200246948307E-5</v>
      </c>
      <c r="R113" s="8">
        <f t="shared" si="99"/>
        <v>7.6602524819218042E-5</v>
      </c>
      <c r="S113" s="8">
        <f t="shared" si="99"/>
        <v>-7.7192657434424841E-5</v>
      </c>
      <c r="T113" s="8">
        <f t="shared" si="99"/>
        <v>3.4053091865954646E-4</v>
      </c>
      <c r="U113" s="8">
        <f t="shared" si="99"/>
        <v>3.0898529230008654E-5</v>
      </c>
      <c r="V113" s="8">
        <f t="shared" si="99"/>
        <v>1.5241114430287144E-4</v>
      </c>
      <c r="W113" s="8">
        <f t="shared" si="99"/>
        <v>2.246888060036849E-4</v>
      </c>
      <c r="X113" s="8">
        <f t="shared" si="99"/>
        <v>2.8169431718780117E-4</v>
      </c>
      <c r="Y113" s="8">
        <f t="shared" si="99"/>
        <v>-9.0202504622878356E-5</v>
      </c>
      <c r="Z113" s="8">
        <f t="shared" si="99"/>
        <v>4.4011412614581436E-4</v>
      </c>
      <c r="AA113" s="8">
        <f t="shared" si="99"/>
        <v>1.8756447528838038E-4</v>
      </c>
      <c r="AB113" s="8">
        <f t="shared" si="99"/>
        <v>4.0580614952395819E-4</v>
      </c>
      <c r="AC113" s="8">
        <f t="shared" si="99"/>
        <v>1.4122963939365408E-4</v>
      </c>
      <c r="AD113" s="8">
        <f t="shared" si="99"/>
        <v>-9.3739747215148349E-5</v>
      </c>
      <c r="AE113" s="8">
        <f t="shared" si="99"/>
        <v>9.288644631937457E-5</v>
      </c>
      <c r="AF113" s="8">
        <f t="shared" si="99"/>
        <v>1.5198954311943338E-5</v>
      </c>
      <c r="AG113" s="8">
        <f t="shared" si="99"/>
        <v>2.3087223530498223E-4</v>
      </c>
      <c r="AH113" s="8">
        <f t="shared" si="99"/>
        <v>-1.3646495125168686E-4</v>
      </c>
      <c r="AI113" s="8">
        <f t="shared" ref="AI113:BN113" si="100">AI88/AI14</f>
        <v>-2.8959000152415791E-4</v>
      </c>
      <c r="AJ113" s="8">
        <f t="shared" si="100"/>
        <v>0</v>
      </c>
      <c r="AK113" s="8">
        <f t="shared" si="100"/>
        <v>-2.1867824620046546E-4</v>
      </c>
      <c r="AL113" s="8">
        <f t="shared" si="100"/>
        <v>0</v>
      </c>
      <c r="AM113" s="8">
        <f t="shared" si="100"/>
        <v>2.9349612585113877E-5</v>
      </c>
      <c r="AN113" s="8">
        <f t="shared" si="100"/>
        <v>-1.4051258992805756E-5</v>
      </c>
      <c r="AO113" s="8">
        <f t="shared" si="100"/>
        <v>-2.2312090363965973E-4</v>
      </c>
      <c r="AP113" s="8">
        <f t="shared" si="100"/>
        <v>0</v>
      </c>
      <c r="AQ113" s="8">
        <f t="shared" si="100"/>
        <v>-1.2029512403763901E-4</v>
      </c>
      <c r="AR113" s="8">
        <f t="shared" si="100"/>
        <v>5.3981106612685562E-5</v>
      </c>
      <c r="AS113" s="8">
        <f t="shared" si="100"/>
        <v>-9.2185318829509844E-5</v>
      </c>
      <c r="AT113" s="8">
        <f t="shared" si="100"/>
        <v>-1.9908421262193908E-4</v>
      </c>
      <c r="AU113" s="8">
        <f t="shared" si="100"/>
        <v>1.3613777142468177E-5</v>
      </c>
      <c r="AV113" s="8">
        <f t="shared" si="100"/>
        <v>1.3667550501599104E-5</v>
      </c>
      <c r="AW113" s="8">
        <f t="shared" si="100"/>
        <v>0</v>
      </c>
      <c r="AX113" s="8">
        <f t="shared" si="100"/>
        <v>5.6290458767238951E-5</v>
      </c>
      <c r="AY113" s="8">
        <f t="shared" si="100"/>
        <v>-2.0509214497084762E-4</v>
      </c>
      <c r="AZ113" s="8">
        <f t="shared" si="100"/>
        <v>4.4975488358844428E-5</v>
      </c>
      <c r="BA113" s="8">
        <f t="shared" si="100"/>
        <v>-4.5746351728449655E-5</v>
      </c>
      <c r="BB113" s="8">
        <f t="shared" si="100"/>
        <v>-1.8506238144441189E-4</v>
      </c>
      <c r="BC113" s="8">
        <f t="shared" si="100"/>
        <v>-3.0754563208316035E-5</v>
      </c>
      <c r="BD113" s="8">
        <f t="shared" si="100"/>
        <v>1.2431432878032105E-4</v>
      </c>
      <c r="BE113" s="8">
        <f t="shared" si="100"/>
        <v>-1.2676882120842378E-4</v>
      </c>
      <c r="BF113" s="8">
        <f t="shared" si="100"/>
        <v>3.1423319245211871E-5</v>
      </c>
      <c r="BG113" s="8">
        <f t="shared" si="100"/>
        <v>9.6630805900921207E-5</v>
      </c>
      <c r="BH113" s="8">
        <f t="shared" si="100"/>
        <v>-1.4847809948032666E-4</v>
      </c>
      <c r="BI113" s="8">
        <f t="shared" si="100"/>
        <v>3.3333333333333335E-5</v>
      </c>
      <c r="BJ113" s="8">
        <f t="shared" si="100"/>
        <v>-5.0926004515439068E-5</v>
      </c>
      <c r="BK113" s="8">
        <f t="shared" si="100"/>
        <v>1.7810073377502314E-5</v>
      </c>
      <c r="BL113" s="8">
        <f t="shared" si="100"/>
        <v>3.5039156257117327E-5</v>
      </c>
      <c r="BM113" s="8">
        <f t="shared" si="100"/>
        <v>7.0200070200070202E-5</v>
      </c>
      <c r="BN113" s="8">
        <f t="shared" si="100"/>
        <v>3.4771119108468507E-5</v>
      </c>
      <c r="BO113" s="8">
        <f t="shared" ref="BO113:CY113" si="101">BO88/BO14</f>
        <v>1.7117132537957242E-5</v>
      </c>
      <c r="BP113" s="8">
        <f t="shared" si="101"/>
        <v>1.1646285666749855E-4</v>
      </c>
      <c r="BQ113" s="8">
        <f t="shared" si="101"/>
        <v>-1.8758910482479177E-4</v>
      </c>
      <c r="BR113" s="8">
        <f t="shared" si="101"/>
        <v>0</v>
      </c>
      <c r="BS113" s="8">
        <f t="shared" si="101"/>
        <v>-4.4963017917762641E-5</v>
      </c>
      <c r="BT113" s="8">
        <f t="shared" si="101"/>
        <v>2.4693187149665406E-5</v>
      </c>
      <c r="BU113" s="8">
        <f t="shared" si="101"/>
        <v>0</v>
      </c>
      <c r="BV113" s="8">
        <f t="shared" si="101"/>
        <v>0</v>
      </c>
      <c r="BW113" s="8">
        <f t="shared" si="101"/>
        <v>2.6408450704225349E-4</v>
      </c>
      <c r="BX113" s="8">
        <f t="shared" si="101"/>
        <v>-6.1934844543540198E-5</v>
      </c>
      <c r="BY113" s="8">
        <f t="shared" si="101"/>
        <v>0</v>
      </c>
      <c r="BZ113" s="8">
        <f t="shared" si="101"/>
        <v>-1.4118809784335179E-4</v>
      </c>
      <c r="CA113" s="8">
        <f t="shared" si="101"/>
        <v>-3.7900322152738296E-5</v>
      </c>
      <c r="CB113" s="8">
        <f t="shared" si="101"/>
        <v>1.9637106276019166E-4</v>
      </c>
      <c r="CC113" s="8">
        <f t="shared" si="101"/>
        <v>-4.0567951318458416E-5</v>
      </c>
      <c r="CD113" s="8">
        <f t="shared" si="101"/>
        <v>-3.9411973357506011E-5</v>
      </c>
      <c r="CE113" s="8">
        <f t="shared" si="101"/>
        <v>1.248335552596538E-4</v>
      </c>
      <c r="CF113" s="8">
        <f t="shared" si="101"/>
        <v>-4.2914771264269162E-5</v>
      </c>
      <c r="CG113" s="8">
        <f t="shared" si="101"/>
        <v>1.8676752112807581E-4</v>
      </c>
      <c r="CH113" s="8">
        <f t="shared" si="101"/>
        <v>-4.8581422464049747E-5</v>
      </c>
      <c r="CI113" s="8">
        <f t="shared" si="101"/>
        <v>-1.0762524888338805E-4</v>
      </c>
      <c r="CJ113" s="8">
        <f t="shared" si="101"/>
        <v>5.573825316314587E-5</v>
      </c>
      <c r="CK113" s="8">
        <f t="shared" si="101"/>
        <v>0</v>
      </c>
      <c r="CL113" s="8">
        <f t="shared" si="101"/>
        <v>-6.7312870220786214E-5</v>
      </c>
      <c r="CM113" s="8">
        <f t="shared" si="101"/>
        <v>-7.5769055917563263E-5</v>
      </c>
      <c r="CN113" s="8">
        <f t="shared" si="101"/>
        <v>2.5764342150463756E-4</v>
      </c>
      <c r="CO113" s="8">
        <f t="shared" si="101"/>
        <v>3.0643513789581204E-4</v>
      </c>
      <c r="CP113" s="8">
        <f t="shared" si="101"/>
        <v>-4.6800046800046801E-4</v>
      </c>
      <c r="CQ113" s="8">
        <f t="shared" si="101"/>
        <v>1.7439832577607255E-4</v>
      </c>
      <c r="CR113" s="8">
        <f t="shared" si="101"/>
        <v>4.190236748376283E-4</v>
      </c>
      <c r="CS113" s="8">
        <f t="shared" si="101"/>
        <v>-5.6481219994351881E-4</v>
      </c>
      <c r="CT113" s="8">
        <f t="shared" si="101"/>
        <v>8.1466395112016296E-4</v>
      </c>
      <c r="CU113" s="8">
        <f t="shared" si="101"/>
        <v>-1.1267605633802818E-3</v>
      </c>
      <c r="CV113" s="8">
        <f t="shared" si="101"/>
        <v>0</v>
      </c>
      <c r="CW113" s="8">
        <f t="shared" si="101"/>
        <v>-1.2254901960784314E-3</v>
      </c>
      <c r="CX113" s="8">
        <f t="shared" si="101"/>
        <v>-1.7889087656529517E-3</v>
      </c>
      <c r="CY113" s="8">
        <f t="shared" si="101"/>
        <v>0</v>
      </c>
    </row>
    <row r="114" spans="1:104" x14ac:dyDescent="0.3">
      <c r="A114" s="10">
        <v>2013</v>
      </c>
      <c r="B114" s="8"/>
      <c r="C114" s="8">
        <f t="shared" ref="C114:AH114" si="102">C89/C15</f>
        <v>-1.6025111514951264E-3</v>
      </c>
      <c r="D114" s="8">
        <f t="shared" si="102"/>
        <v>-1.6278956193328884E-5</v>
      </c>
      <c r="E114" s="8">
        <f t="shared" si="102"/>
        <v>4.7298469106216593E-5</v>
      </c>
      <c r="F114" s="8">
        <f t="shared" si="102"/>
        <v>-6.2070356749375423E-5</v>
      </c>
      <c r="G114" s="8">
        <f t="shared" si="102"/>
        <v>1.2621083520020194E-4</v>
      </c>
      <c r="H114" s="8">
        <f t="shared" si="102"/>
        <v>-1.132704412692762E-4</v>
      </c>
      <c r="I114" s="8">
        <f t="shared" si="102"/>
        <v>0</v>
      </c>
      <c r="J114" s="8">
        <f t="shared" si="102"/>
        <v>-9.9135865703947254E-5</v>
      </c>
      <c r="K114" s="8">
        <f t="shared" si="102"/>
        <v>1.6439527199197753E-5</v>
      </c>
      <c r="L114" s="8">
        <f t="shared" si="102"/>
        <v>-1.3235610409807587E-4</v>
      </c>
      <c r="M114" s="8">
        <f t="shared" si="102"/>
        <v>1.0138046398459016E-4</v>
      </c>
      <c r="N114" s="8">
        <f t="shared" si="102"/>
        <v>-3.3089026024518967E-5</v>
      </c>
      <c r="O114" s="8">
        <f t="shared" si="102"/>
        <v>1.4290250873293109E-4</v>
      </c>
      <c r="P114" s="8">
        <f t="shared" si="102"/>
        <v>0</v>
      </c>
      <c r="Q114" s="8">
        <f t="shared" si="102"/>
        <v>4.7921026148906605E-5</v>
      </c>
      <c r="R114" s="8">
        <f t="shared" si="102"/>
        <v>-1.5527226992531405E-5</v>
      </c>
      <c r="S114" s="8">
        <f t="shared" si="102"/>
        <v>3.6479153683634539E-4</v>
      </c>
      <c r="T114" s="8">
        <f t="shared" si="102"/>
        <v>2.2964221742525145E-4</v>
      </c>
      <c r="U114" s="8">
        <f t="shared" si="102"/>
        <v>3.0725742026669941E-5</v>
      </c>
      <c r="V114" s="8">
        <f t="shared" si="102"/>
        <v>0</v>
      </c>
      <c r="W114" s="8">
        <f t="shared" si="102"/>
        <v>5.5596459857853379E-4</v>
      </c>
      <c r="X114" s="8">
        <f t="shared" si="102"/>
        <v>1.0336375180886566E-4</v>
      </c>
      <c r="Y114" s="8">
        <f t="shared" si="102"/>
        <v>1.8905241114536677E-4</v>
      </c>
      <c r="Z114" s="8">
        <f t="shared" si="102"/>
        <v>3.8136028279331738E-4</v>
      </c>
      <c r="AA114" s="8">
        <f t="shared" si="102"/>
        <v>-8.8452523108221656E-5</v>
      </c>
      <c r="AB114" s="8">
        <f t="shared" si="102"/>
        <v>3.3181502820427741E-4</v>
      </c>
      <c r="AC114" s="8">
        <f t="shared" si="102"/>
        <v>1.5043249341857841E-5</v>
      </c>
      <c r="AD114" s="8">
        <f t="shared" si="102"/>
        <v>2.2737952674741166E-4</v>
      </c>
      <c r="AE114" s="8">
        <f t="shared" si="102"/>
        <v>2.8739978823173501E-4</v>
      </c>
      <c r="AF114" s="8">
        <f t="shared" si="102"/>
        <v>9.0121213031527409E-5</v>
      </c>
      <c r="AG114" s="8">
        <f t="shared" si="102"/>
        <v>-4.5830869308101716E-4</v>
      </c>
      <c r="AH114" s="8">
        <f t="shared" si="102"/>
        <v>-1.504347564461293E-4</v>
      </c>
      <c r="AI114" s="8">
        <f t="shared" ref="AI114:BN114" si="103">AI89/AI15</f>
        <v>-6.3833261582767989E-4</v>
      </c>
      <c r="AJ114" s="8">
        <f t="shared" si="103"/>
        <v>-5.9730912240357193E-5</v>
      </c>
      <c r="AK114" s="8">
        <f t="shared" si="103"/>
        <v>-2.4051108605787299E-4</v>
      </c>
      <c r="AL114" s="8">
        <f t="shared" si="103"/>
        <v>-6.1391122843636815E-5</v>
      </c>
      <c r="AM114" s="8">
        <f t="shared" si="103"/>
        <v>-5.9746079163554889E-5</v>
      </c>
      <c r="AN114" s="8">
        <f t="shared" si="103"/>
        <v>7.2464818330700447E-5</v>
      </c>
      <c r="AO114" s="8">
        <f t="shared" si="103"/>
        <v>-2.779514974636926E-4</v>
      </c>
      <c r="AP114" s="8">
        <f t="shared" si="103"/>
        <v>1.3791771828926862E-5</v>
      </c>
      <c r="AQ114" s="8">
        <f t="shared" si="103"/>
        <v>1.7337725557141142E-4</v>
      </c>
      <c r="AR114" s="8">
        <f t="shared" si="103"/>
        <v>2.6542800265428002E-5</v>
      </c>
      <c r="AS114" s="8">
        <f t="shared" si="103"/>
        <v>-1.3401412508878436E-4</v>
      </c>
      <c r="AT114" s="8">
        <f t="shared" si="103"/>
        <v>1.5716886484787364E-4</v>
      </c>
      <c r="AU114" s="8">
        <f t="shared" si="103"/>
        <v>-1.3201145859460602E-4</v>
      </c>
      <c r="AV114" s="8">
        <f t="shared" si="103"/>
        <v>4.0674656977059496E-5</v>
      </c>
      <c r="AW114" s="8">
        <f t="shared" si="103"/>
        <v>-9.5336674656787965E-5</v>
      </c>
      <c r="AX114" s="8">
        <f t="shared" si="103"/>
        <v>-4.1444478214019285E-5</v>
      </c>
      <c r="AY114" s="8">
        <f t="shared" si="103"/>
        <v>-1.403863432165319E-5</v>
      </c>
      <c r="AZ114" s="8">
        <f t="shared" si="103"/>
        <v>1.0230926629640456E-4</v>
      </c>
      <c r="BA114" s="8">
        <f t="shared" si="103"/>
        <v>2.9955815172620385E-5</v>
      </c>
      <c r="BB114" s="8">
        <f t="shared" si="103"/>
        <v>1.5228349094674646E-5</v>
      </c>
      <c r="BC114" s="8">
        <f t="shared" si="103"/>
        <v>1.541283272452644E-4</v>
      </c>
      <c r="BD114" s="8">
        <f t="shared" si="103"/>
        <v>-1.076178030594204E-4</v>
      </c>
      <c r="BE114" s="8">
        <f t="shared" si="103"/>
        <v>1.5547021967942041E-5</v>
      </c>
      <c r="BF114" s="8">
        <f t="shared" si="103"/>
        <v>6.348400203148806E-5</v>
      </c>
      <c r="BG114" s="8">
        <f t="shared" si="103"/>
        <v>3.1471777683362448E-5</v>
      </c>
      <c r="BH114" s="8">
        <f t="shared" si="103"/>
        <v>-8.0754570708702118E-5</v>
      </c>
      <c r="BI114" s="8">
        <f t="shared" si="103"/>
        <v>-1.4901895852305656E-4</v>
      </c>
      <c r="BJ114" s="8">
        <f t="shared" si="103"/>
        <v>1.674228599172931E-4</v>
      </c>
      <c r="BK114" s="8">
        <f t="shared" si="103"/>
        <v>-8.5334425613981186E-5</v>
      </c>
      <c r="BL114" s="8">
        <f t="shared" si="103"/>
        <v>7.1660187391390032E-5</v>
      </c>
      <c r="BM114" s="8">
        <f t="shared" si="103"/>
        <v>-1.7656925929195727E-4</v>
      </c>
      <c r="BN114" s="8">
        <f t="shared" si="103"/>
        <v>1.5908930212826133E-4</v>
      </c>
      <c r="BO114" s="8">
        <f t="shared" ref="BO114:CY114" si="104">BO89/BO15</f>
        <v>-8.7677766671927327E-5</v>
      </c>
      <c r="BP114" s="8">
        <f t="shared" si="104"/>
        <v>1.7276826592491491E-5</v>
      </c>
      <c r="BQ114" s="8">
        <f t="shared" si="104"/>
        <v>-5.0402378992288436E-5</v>
      </c>
      <c r="BR114" s="8">
        <f t="shared" si="104"/>
        <v>7.5995060321079125E-5</v>
      </c>
      <c r="BS114" s="8">
        <f t="shared" si="104"/>
        <v>1.1984420253670229E-4</v>
      </c>
      <c r="BT114" s="8">
        <f t="shared" si="104"/>
        <v>-6.8383861408707547E-5</v>
      </c>
      <c r="BU114" s="8">
        <f t="shared" si="104"/>
        <v>-1.2527560633393466E-4</v>
      </c>
      <c r="BV114" s="8">
        <f t="shared" si="104"/>
        <v>8.7221979938944616E-5</v>
      </c>
      <c r="BW114" s="8">
        <f t="shared" si="104"/>
        <v>2.8471372035418388E-5</v>
      </c>
      <c r="BX114" s="8">
        <f t="shared" si="104"/>
        <v>1.4971852916516949E-4</v>
      </c>
      <c r="BY114" s="8">
        <f t="shared" si="104"/>
        <v>0</v>
      </c>
      <c r="BZ114" s="8">
        <f t="shared" si="104"/>
        <v>2.3926715887339348E-4</v>
      </c>
      <c r="CA114" s="8">
        <f t="shared" si="104"/>
        <v>-2.1766733176129148E-4</v>
      </c>
      <c r="CB114" s="8">
        <f t="shared" si="104"/>
        <v>-1.1705489874751258E-4</v>
      </c>
      <c r="CC114" s="8">
        <f t="shared" si="104"/>
        <v>2.0349192137072159E-4</v>
      </c>
      <c r="CD114" s="8">
        <f t="shared" si="104"/>
        <v>0</v>
      </c>
      <c r="CE114" s="8">
        <f t="shared" si="104"/>
        <v>8.2430037505667065E-5</v>
      </c>
      <c r="CF114" s="8">
        <f t="shared" si="104"/>
        <v>3.4989503149055281E-4</v>
      </c>
      <c r="CG114" s="8">
        <f t="shared" si="104"/>
        <v>-3.1879041807086254E-4</v>
      </c>
      <c r="CH114" s="8">
        <f t="shared" si="104"/>
        <v>0</v>
      </c>
      <c r="CI114" s="8">
        <f t="shared" si="104"/>
        <v>0</v>
      </c>
      <c r="CJ114" s="8">
        <f t="shared" si="104"/>
        <v>5.8575445173383319E-5</v>
      </c>
      <c r="CK114" s="8">
        <f t="shared" si="104"/>
        <v>6.1285775571489864E-5</v>
      </c>
      <c r="CL114" s="8">
        <f t="shared" si="104"/>
        <v>6.9324090121317163E-5</v>
      </c>
      <c r="CM114" s="8">
        <f t="shared" si="104"/>
        <v>7.6231132794633331E-5</v>
      </c>
      <c r="CN114" s="8">
        <f t="shared" si="104"/>
        <v>0</v>
      </c>
      <c r="CO114" s="8">
        <f t="shared" si="104"/>
        <v>-1.016880211511084E-4</v>
      </c>
      <c r="CP114" s="8">
        <f t="shared" si="104"/>
        <v>3.6531904529956159E-4</v>
      </c>
      <c r="CQ114" s="8">
        <f t="shared" si="104"/>
        <v>1.4386419220256078E-4</v>
      </c>
      <c r="CR114" s="8">
        <f t="shared" si="104"/>
        <v>-4.3946385409800046E-4</v>
      </c>
      <c r="CS114" s="8">
        <f t="shared" si="104"/>
        <v>0</v>
      </c>
      <c r="CT114" s="8">
        <f t="shared" si="104"/>
        <v>0</v>
      </c>
      <c r="CU114" s="8">
        <f t="shared" si="104"/>
        <v>1.1331444759206798E-3</v>
      </c>
      <c r="CV114" s="8">
        <f t="shared" si="104"/>
        <v>-8.0064051240992789E-4</v>
      </c>
      <c r="CW114" s="8">
        <f t="shared" si="104"/>
        <v>-1.2195121951219512E-3</v>
      </c>
      <c r="CX114" s="8">
        <f t="shared" si="104"/>
        <v>-1.890359168241966E-3</v>
      </c>
      <c r="CY114" s="8">
        <f t="shared" si="104"/>
        <v>0</v>
      </c>
    </row>
    <row r="115" spans="1:104" x14ac:dyDescent="0.3">
      <c r="A115" s="10">
        <v>2014</v>
      </c>
      <c r="B115" s="8"/>
      <c r="C115" s="8">
        <f t="shared" ref="C115:AH115" si="105">C90/C16</f>
        <v>-2.1066823965618943E-3</v>
      </c>
      <c r="D115" s="8">
        <f t="shared" si="105"/>
        <v>-1.6276041666666666E-4</v>
      </c>
      <c r="E115" s="8">
        <f t="shared" si="105"/>
        <v>1.6081307088640165E-5</v>
      </c>
      <c r="F115" s="8">
        <f t="shared" si="105"/>
        <v>1.5628418716594254E-5</v>
      </c>
      <c r="G115" s="8">
        <f t="shared" si="105"/>
        <v>-6.1569720011698246E-5</v>
      </c>
      <c r="H115" s="8">
        <f t="shared" si="105"/>
        <v>4.6998370723148265E-5</v>
      </c>
      <c r="I115" s="8">
        <f t="shared" si="105"/>
        <v>0</v>
      </c>
      <c r="J115" s="8">
        <f t="shared" si="105"/>
        <v>-3.2009730958211295E-5</v>
      </c>
      <c r="K115" s="8">
        <f t="shared" si="105"/>
        <v>1.3127666557269445E-4</v>
      </c>
      <c r="L115" s="8">
        <f t="shared" si="105"/>
        <v>3.2652528121989844E-5</v>
      </c>
      <c r="M115" s="8">
        <f t="shared" si="105"/>
        <v>-1.6445745485642865E-5</v>
      </c>
      <c r="N115" s="8">
        <f t="shared" si="105"/>
        <v>-5.0333881413375393E-5</v>
      </c>
      <c r="O115" s="8">
        <f t="shared" si="105"/>
        <v>6.5842537571397997E-5</v>
      </c>
      <c r="P115" s="8">
        <f t="shared" si="105"/>
        <v>-4.7332050108863714E-5</v>
      </c>
      <c r="Q115" s="8">
        <f t="shared" si="105"/>
        <v>-1.099902580057195E-4</v>
      </c>
      <c r="R115" s="8">
        <f t="shared" si="105"/>
        <v>-3.173797130887394E-5</v>
      </c>
      <c r="S115" s="8">
        <f t="shared" si="105"/>
        <v>1.3862362146509766E-4</v>
      </c>
      <c r="T115" s="8">
        <f t="shared" si="105"/>
        <v>1.3559117753404845E-4</v>
      </c>
      <c r="U115" s="8">
        <f t="shared" si="105"/>
        <v>2.1263346546984401E-4</v>
      </c>
      <c r="V115" s="8">
        <f t="shared" si="105"/>
        <v>-7.6163782598098951E-5</v>
      </c>
      <c r="W115" s="8">
        <f t="shared" si="105"/>
        <v>2.4229208310618449E-4</v>
      </c>
      <c r="X115" s="8">
        <f t="shared" si="105"/>
        <v>-7.4152071067344911E-5</v>
      </c>
      <c r="Y115" s="8">
        <f t="shared" si="105"/>
        <v>6.2396610267870104E-4</v>
      </c>
      <c r="Z115" s="8">
        <f t="shared" si="105"/>
        <v>4.2721045811201457E-5</v>
      </c>
      <c r="AA115" s="8">
        <f t="shared" si="105"/>
        <v>1.0024919084581674E-4</v>
      </c>
      <c r="AB115" s="8">
        <f t="shared" si="105"/>
        <v>1.2898417794083927E-4</v>
      </c>
      <c r="AC115" s="8">
        <f t="shared" si="105"/>
        <v>4.1050301279889752E-4</v>
      </c>
      <c r="AD115" s="8">
        <f t="shared" si="105"/>
        <v>-3.5010430190660969E-4</v>
      </c>
      <c r="AE115" s="8">
        <f t="shared" si="105"/>
        <v>2.9452912156689492E-4</v>
      </c>
      <c r="AF115" s="8">
        <f t="shared" si="105"/>
        <v>1.0310037557993961E-4</v>
      </c>
      <c r="AG115" s="8">
        <f t="shared" si="105"/>
        <v>-7.3388031879761048E-5</v>
      </c>
      <c r="AH115" s="8">
        <f t="shared" si="105"/>
        <v>-2.0319598252514551E-4</v>
      </c>
      <c r="AI115" s="8">
        <f t="shared" ref="AI115:BN115" si="106">AI90/AI16</f>
        <v>-4.140235697703648E-4</v>
      </c>
      <c r="AJ115" s="8">
        <f t="shared" si="106"/>
        <v>1.4614327887060475E-4</v>
      </c>
      <c r="AK115" s="8">
        <f t="shared" si="106"/>
        <v>-2.2065962517285004E-4</v>
      </c>
      <c r="AL115" s="8">
        <f t="shared" si="106"/>
        <v>-7.4113601328115733E-5</v>
      </c>
      <c r="AM115" s="8">
        <f t="shared" si="106"/>
        <v>1.0611848887271845E-4</v>
      </c>
      <c r="AN115" s="8">
        <f t="shared" si="106"/>
        <v>7.3886893942752441E-5</v>
      </c>
      <c r="AO115" s="8">
        <f t="shared" si="106"/>
        <v>-2.2984542894903176E-4</v>
      </c>
      <c r="AP115" s="8">
        <f t="shared" si="106"/>
        <v>-1.5147968106641696E-4</v>
      </c>
      <c r="AQ115" s="8">
        <f t="shared" si="106"/>
        <v>2.4653143960664539E-4</v>
      </c>
      <c r="AR115" s="8">
        <f t="shared" si="106"/>
        <v>-2.6502352083747433E-5</v>
      </c>
      <c r="AS115" s="8">
        <f t="shared" si="106"/>
        <v>0</v>
      </c>
      <c r="AT115" s="8">
        <f t="shared" si="106"/>
        <v>0</v>
      </c>
      <c r="AU115" s="8">
        <f t="shared" si="106"/>
        <v>1.0441955778317279E-4</v>
      </c>
      <c r="AV115" s="8">
        <f t="shared" si="106"/>
        <v>7.9010784972148701E-5</v>
      </c>
      <c r="AW115" s="8">
        <f t="shared" si="106"/>
        <v>-5.41250016914063E-5</v>
      </c>
      <c r="AX115" s="8">
        <f t="shared" si="106"/>
        <v>1.0871189987634022E-4</v>
      </c>
      <c r="AY115" s="8">
        <f t="shared" si="106"/>
        <v>6.8975031038763962E-5</v>
      </c>
      <c r="AZ115" s="8">
        <f t="shared" si="106"/>
        <v>-4.2071605873196181E-5</v>
      </c>
      <c r="BA115" s="8">
        <f t="shared" si="106"/>
        <v>2.9241048584002222E-5</v>
      </c>
      <c r="BB115" s="8">
        <f t="shared" si="106"/>
        <v>-1.4986886474334956E-5</v>
      </c>
      <c r="BC115" s="8">
        <f t="shared" si="106"/>
        <v>1.5247156405330405E-5</v>
      </c>
      <c r="BD115" s="8">
        <f t="shared" si="106"/>
        <v>-1.5429003440667768E-5</v>
      </c>
      <c r="BE115" s="8">
        <f t="shared" si="106"/>
        <v>-3.0800505128284107E-5</v>
      </c>
      <c r="BF115" s="8">
        <f t="shared" si="106"/>
        <v>-1.5588221539804524E-5</v>
      </c>
      <c r="BG115" s="8">
        <f t="shared" si="106"/>
        <v>-3.1862862240915102E-5</v>
      </c>
      <c r="BH115" s="8">
        <f t="shared" si="106"/>
        <v>1.5800034760076471E-5</v>
      </c>
      <c r="BI115" s="8">
        <f t="shared" si="106"/>
        <v>0</v>
      </c>
      <c r="BJ115" s="8">
        <f t="shared" si="106"/>
        <v>3.3276209174250869E-5</v>
      </c>
      <c r="BK115" s="8">
        <f t="shared" si="106"/>
        <v>-3.3694425257341175E-5</v>
      </c>
      <c r="BL115" s="8">
        <f t="shared" si="106"/>
        <v>1.7173278378842521E-4</v>
      </c>
      <c r="BM115" s="8">
        <f t="shared" si="106"/>
        <v>3.6079591579023328E-5</v>
      </c>
      <c r="BN115" s="8">
        <f t="shared" si="106"/>
        <v>0</v>
      </c>
      <c r="BO115" s="8">
        <f t="shared" ref="BO115:CY115" si="107">BO90/BO16</f>
        <v>3.5652530438347865E-5</v>
      </c>
      <c r="BP115" s="8">
        <f t="shared" si="107"/>
        <v>-5.3078556263269641E-5</v>
      </c>
      <c r="BQ115" s="8">
        <f t="shared" si="107"/>
        <v>5.234140554121013E-5</v>
      </c>
      <c r="BR115" s="8">
        <f t="shared" si="107"/>
        <v>6.7998300042498939E-5</v>
      </c>
      <c r="BS115" s="8">
        <f t="shared" si="107"/>
        <v>1.9249278152069297E-5</v>
      </c>
      <c r="BT115" s="8">
        <f t="shared" si="107"/>
        <v>1.0128838829916539E-4</v>
      </c>
      <c r="BU115" s="8">
        <f t="shared" si="107"/>
        <v>-6.9373785958745719E-5</v>
      </c>
      <c r="BV115" s="8">
        <f t="shared" si="107"/>
        <v>5.0834964288437587E-5</v>
      </c>
      <c r="BW115" s="8">
        <f t="shared" si="107"/>
        <v>0</v>
      </c>
      <c r="BX115" s="8">
        <f t="shared" si="107"/>
        <v>8.7044828086464527E-5</v>
      </c>
      <c r="BY115" s="8">
        <f t="shared" si="107"/>
        <v>6.1268878473179545E-5</v>
      </c>
      <c r="BZ115" s="8">
        <f t="shared" si="107"/>
        <v>0</v>
      </c>
      <c r="CA115" s="8">
        <f t="shared" si="107"/>
        <v>-7.019267890359035E-5</v>
      </c>
      <c r="CB115" s="8">
        <f t="shared" si="107"/>
        <v>3.7489690335157832E-5</v>
      </c>
      <c r="CC115" s="8">
        <f t="shared" si="107"/>
        <v>4.0389353366452604E-5</v>
      </c>
      <c r="CD115" s="8">
        <f t="shared" si="107"/>
        <v>2.9648454044896229E-4</v>
      </c>
      <c r="CE115" s="8">
        <f t="shared" si="107"/>
        <v>-1.7692069529833253E-4</v>
      </c>
      <c r="CF115" s="8">
        <f t="shared" si="107"/>
        <v>4.3374539145521578E-5</v>
      </c>
      <c r="CG115" s="8">
        <f t="shared" si="107"/>
        <v>9.2704180958561231E-5</v>
      </c>
      <c r="CH115" s="8">
        <f t="shared" si="107"/>
        <v>4.844726515188218E-5</v>
      </c>
      <c r="CI115" s="8">
        <f t="shared" si="107"/>
        <v>1.0792725702876261E-4</v>
      </c>
      <c r="CJ115" s="8">
        <f t="shared" si="107"/>
        <v>0</v>
      </c>
      <c r="CK115" s="8">
        <f t="shared" si="107"/>
        <v>1.9337372695629753E-4</v>
      </c>
      <c r="CL115" s="8">
        <f t="shared" si="107"/>
        <v>-2.0458265139116204E-4</v>
      </c>
      <c r="CM115" s="8">
        <f t="shared" si="107"/>
        <v>-7.8070106956046534E-5</v>
      </c>
      <c r="CN115" s="8">
        <f t="shared" si="107"/>
        <v>2.6111933153451125E-4</v>
      </c>
      <c r="CO115" s="8">
        <f t="shared" si="107"/>
        <v>-1.016260162601626E-4</v>
      </c>
      <c r="CP115" s="8">
        <f t="shared" si="107"/>
        <v>0</v>
      </c>
      <c r="CQ115" s="8">
        <f t="shared" si="107"/>
        <v>2.9390154298310065E-4</v>
      </c>
      <c r="CR115" s="8">
        <f t="shared" si="107"/>
        <v>-1.7825311942959001E-4</v>
      </c>
      <c r="CS115" s="8">
        <f t="shared" si="107"/>
        <v>2.7940765576976809E-4</v>
      </c>
      <c r="CT115" s="8">
        <f t="shared" si="107"/>
        <v>-7.2306579898770787E-4</v>
      </c>
      <c r="CU115" s="8">
        <f t="shared" si="107"/>
        <v>0</v>
      </c>
      <c r="CV115" s="8">
        <f t="shared" si="107"/>
        <v>0</v>
      </c>
      <c r="CW115" s="8">
        <f t="shared" si="107"/>
        <v>2.34192037470726E-3</v>
      </c>
      <c r="CX115" s="8">
        <f t="shared" si="107"/>
        <v>-1.7452006980802793E-3</v>
      </c>
      <c r="CY115" s="8">
        <f t="shared" si="107"/>
        <v>0</v>
      </c>
    </row>
    <row r="116" spans="1:104" x14ac:dyDescent="0.3">
      <c r="A116" s="10">
        <v>2015</v>
      </c>
      <c r="B116" s="8"/>
      <c r="C116" s="8">
        <f t="shared" ref="C116:AH116" si="108">C91/C17</f>
        <v>-1.296667396392907E-3</v>
      </c>
      <c r="D116" s="8">
        <f t="shared" si="108"/>
        <v>-1.6639765712098773E-5</v>
      </c>
      <c r="E116" s="8">
        <f t="shared" si="108"/>
        <v>1.6107469033390783E-4</v>
      </c>
      <c r="F116" s="8">
        <f t="shared" si="108"/>
        <v>3.1912177687005363E-5</v>
      </c>
      <c r="G116" s="8">
        <f t="shared" si="108"/>
        <v>-1.3983189099327253E-4</v>
      </c>
      <c r="H116" s="8">
        <f t="shared" si="108"/>
        <v>1.5300814003304977E-4</v>
      </c>
      <c r="I116" s="8">
        <f t="shared" si="108"/>
        <v>-1.8700035841735362E-4</v>
      </c>
      <c r="J116" s="8">
        <f t="shared" si="108"/>
        <v>0</v>
      </c>
      <c r="K116" s="8">
        <f t="shared" si="108"/>
        <v>-4.7759293162461193E-5</v>
      </c>
      <c r="L116" s="8">
        <f t="shared" si="108"/>
        <v>0</v>
      </c>
      <c r="M116" s="8">
        <f t="shared" si="108"/>
        <v>6.49540450131532E-5</v>
      </c>
      <c r="N116" s="8">
        <f t="shared" si="108"/>
        <v>-3.2699507872406517E-5</v>
      </c>
      <c r="O116" s="8">
        <f t="shared" si="108"/>
        <v>1.6679454248256996E-4</v>
      </c>
      <c r="P116" s="8">
        <f t="shared" si="108"/>
        <v>-1.4724649062530676E-4</v>
      </c>
      <c r="Q116" s="8">
        <f t="shared" si="108"/>
        <v>6.2755926512810054E-5</v>
      </c>
      <c r="R116" s="8">
        <f t="shared" si="108"/>
        <v>1.2495119094103866E-4</v>
      </c>
      <c r="S116" s="8">
        <f t="shared" si="108"/>
        <v>2.0422590527059933E-4</v>
      </c>
      <c r="T116" s="8">
        <f t="shared" si="108"/>
        <v>7.6299766522714438E-5</v>
      </c>
      <c r="U116" s="8">
        <f t="shared" si="108"/>
        <v>7.4773063751514156E-5</v>
      </c>
      <c r="V116" s="8">
        <f t="shared" si="108"/>
        <v>9.0326077138469876E-5</v>
      </c>
      <c r="W116" s="8">
        <f t="shared" si="108"/>
        <v>9.0369611711901674E-5</v>
      </c>
      <c r="X116" s="8">
        <f t="shared" si="108"/>
        <v>2.5347030669907109E-4</v>
      </c>
      <c r="Y116" s="8">
        <f t="shared" si="108"/>
        <v>8.7614263602114425E-5</v>
      </c>
      <c r="Z116" s="8">
        <f t="shared" si="108"/>
        <v>3.1304694281201529E-4</v>
      </c>
      <c r="AA116" s="8">
        <f t="shared" si="108"/>
        <v>3.0617215225106116E-4</v>
      </c>
      <c r="AB116" s="8">
        <f t="shared" si="108"/>
        <v>3.206334601926589E-4</v>
      </c>
      <c r="AC116" s="8">
        <f t="shared" si="108"/>
        <v>9.745774510622894E-5</v>
      </c>
      <c r="AD116" s="8">
        <f t="shared" si="108"/>
        <v>-2.856897980173128E-5</v>
      </c>
      <c r="AE116" s="8">
        <f t="shared" si="108"/>
        <v>7.1179443376752797E-5</v>
      </c>
      <c r="AF116" s="8">
        <f t="shared" si="108"/>
        <v>-5.7545676881024313E-5</v>
      </c>
      <c r="AG116" s="8">
        <f t="shared" si="108"/>
        <v>-1.5877368975621023E-4</v>
      </c>
      <c r="AH116" s="8">
        <f t="shared" si="108"/>
        <v>5.7763401109057301E-5</v>
      </c>
      <c r="AI116" s="8">
        <f t="shared" ref="AI116:BN116" si="109">AI91/AI17</f>
        <v>-6.1505893122782926E-4</v>
      </c>
      <c r="AJ116" s="8">
        <f t="shared" si="109"/>
        <v>-1.3125464860213798E-4</v>
      </c>
      <c r="AK116" s="8">
        <f t="shared" si="109"/>
        <v>0</v>
      </c>
      <c r="AL116" s="8">
        <f t="shared" si="109"/>
        <v>-8.7284153561920829E-5</v>
      </c>
      <c r="AM116" s="8">
        <f t="shared" si="109"/>
        <v>2.3461442585450974E-4</v>
      </c>
      <c r="AN116" s="8">
        <f t="shared" si="109"/>
        <v>-1.3517572844698109E-4</v>
      </c>
      <c r="AO116" s="8">
        <f t="shared" si="109"/>
        <v>-1.7553868433756089E-4</v>
      </c>
      <c r="AP116" s="8">
        <f t="shared" si="109"/>
        <v>-1.2827090815802975E-4</v>
      </c>
      <c r="AQ116" s="8">
        <f t="shared" si="109"/>
        <v>0</v>
      </c>
      <c r="AR116" s="8">
        <f t="shared" si="109"/>
        <v>2.7223848090927654E-4</v>
      </c>
      <c r="AS116" s="8">
        <f t="shared" si="109"/>
        <v>-1.5817987688332915E-4</v>
      </c>
      <c r="AT116" s="8">
        <f t="shared" si="109"/>
        <v>6.5734118636937315E-5</v>
      </c>
      <c r="AU116" s="8">
        <f t="shared" si="109"/>
        <v>-2.6586905948820207E-5</v>
      </c>
      <c r="AV116" s="8">
        <f t="shared" si="109"/>
        <v>6.5063501977930465E-5</v>
      </c>
      <c r="AW116" s="8">
        <f t="shared" si="109"/>
        <v>1.3145959589320222E-5</v>
      </c>
      <c r="AX116" s="8">
        <f t="shared" si="109"/>
        <v>2.6989096405052359E-5</v>
      </c>
      <c r="AY116" s="8">
        <f t="shared" si="109"/>
        <v>1.0853785936206874E-4</v>
      </c>
      <c r="AZ116" s="8">
        <f t="shared" si="109"/>
        <v>-1.2405579754093841E-4</v>
      </c>
      <c r="BA116" s="8">
        <f t="shared" si="109"/>
        <v>1.5421281368288239E-4</v>
      </c>
      <c r="BB116" s="8">
        <f t="shared" si="109"/>
        <v>2.924703508181858E-5</v>
      </c>
      <c r="BC116" s="8">
        <f t="shared" si="109"/>
        <v>-7.4982753966587685E-5</v>
      </c>
      <c r="BD116" s="8">
        <f t="shared" si="109"/>
        <v>6.106497313141182E-5</v>
      </c>
      <c r="BE116" s="8">
        <f t="shared" si="109"/>
        <v>6.1809472301630223E-5</v>
      </c>
      <c r="BF116" s="8">
        <f t="shared" si="109"/>
        <v>-1.5439723320158102E-5</v>
      </c>
      <c r="BG116" s="8">
        <f t="shared" si="109"/>
        <v>-3.1258791535119253E-5</v>
      </c>
      <c r="BH116" s="8">
        <f t="shared" si="109"/>
        <v>3.1988739963532837E-5</v>
      </c>
      <c r="BI116" s="8">
        <f t="shared" si="109"/>
        <v>1.744702448927801E-4</v>
      </c>
      <c r="BJ116" s="8">
        <f t="shared" si="109"/>
        <v>-6.5163560536947736E-5</v>
      </c>
      <c r="BK116" s="8">
        <f t="shared" si="109"/>
        <v>6.6869504162626631E-5</v>
      </c>
      <c r="BL116" s="8">
        <f t="shared" si="109"/>
        <v>-1.0164151039284444E-4</v>
      </c>
      <c r="BM116" s="8">
        <f t="shared" si="109"/>
        <v>1.7278319165111616E-5</v>
      </c>
      <c r="BN116" s="8">
        <f t="shared" si="109"/>
        <v>9.0876045074518352E-5</v>
      </c>
      <c r="BO116" s="8">
        <f t="shared" ref="BO116:CY116" si="110">BO91/BO17</f>
        <v>-3.5875082961129345E-5</v>
      </c>
      <c r="BP116" s="8">
        <f t="shared" si="110"/>
        <v>0</v>
      </c>
      <c r="BQ116" s="8">
        <f t="shared" si="110"/>
        <v>1.2511841564337678E-4</v>
      </c>
      <c r="BR116" s="8">
        <f t="shared" si="110"/>
        <v>-8.8152327221438644E-5</v>
      </c>
      <c r="BS116" s="8">
        <f t="shared" si="110"/>
        <v>-5.1606688226794192E-5</v>
      </c>
      <c r="BT116" s="8">
        <f t="shared" si="110"/>
        <v>5.8492074323929107E-5</v>
      </c>
      <c r="BU116" s="8">
        <f t="shared" si="110"/>
        <v>1.0271580590821315E-4</v>
      </c>
      <c r="BV116" s="8">
        <f t="shared" si="110"/>
        <v>2.3480241376881355E-5</v>
      </c>
      <c r="BW116" s="8">
        <f t="shared" si="110"/>
        <v>-1.033538318433156E-4</v>
      </c>
      <c r="BX116" s="8">
        <f t="shared" si="110"/>
        <v>1.2064909211558183E-4</v>
      </c>
      <c r="BY116" s="8">
        <f t="shared" si="110"/>
        <v>-2.963841138114997E-5</v>
      </c>
      <c r="BZ116" s="8">
        <f t="shared" si="110"/>
        <v>1.5661707126076742E-4</v>
      </c>
      <c r="CA116" s="8">
        <f t="shared" si="110"/>
        <v>-3.3347784039750561E-5</v>
      </c>
      <c r="CB116" s="8">
        <f t="shared" si="110"/>
        <v>3.6116729268997402E-5</v>
      </c>
      <c r="CC116" s="8">
        <f t="shared" si="110"/>
        <v>1.1624302541847489E-4</v>
      </c>
      <c r="CD116" s="8">
        <f t="shared" si="110"/>
        <v>-4.1855014230704836E-5</v>
      </c>
      <c r="CE116" s="8">
        <f t="shared" si="110"/>
        <v>1.3247957606535659E-4</v>
      </c>
      <c r="CF116" s="8">
        <f t="shared" si="110"/>
        <v>9.2980009298000935E-5</v>
      </c>
      <c r="CG116" s="8">
        <f t="shared" si="110"/>
        <v>4.577497024626934E-5</v>
      </c>
      <c r="CH116" s="8">
        <f t="shared" si="110"/>
        <v>-9.8736176935229066E-5</v>
      </c>
      <c r="CI116" s="8">
        <f t="shared" si="110"/>
        <v>-5.1904910204505343E-5</v>
      </c>
      <c r="CJ116" s="8">
        <f t="shared" si="110"/>
        <v>1.7582932833196577E-4</v>
      </c>
      <c r="CK116" s="8">
        <f t="shared" si="110"/>
        <v>-6.2609566741798141E-5</v>
      </c>
      <c r="CL116" s="8">
        <f t="shared" si="110"/>
        <v>2.1341680301629082E-4</v>
      </c>
      <c r="CM116" s="8">
        <f t="shared" si="110"/>
        <v>2.2995554192856049E-4</v>
      </c>
      <c r="CN116" s="8">
        <f t="shared" si="110"/>
        <v>-3.548301250776191E-4</v>
      </c>
      <c r="CO116" s="8">
        <f t="shared" si="110"/>
        <v>3.0290791599353796E-4</v>
      </c>
      <c r="CP116" s="8">
        <f t="shared" si="110"/>
        <v>1.2186205215695832E-4</v>
      </c>
      <c r="CQ116" s="8">
        <f t="shared" si="110"/>
        <v>-1.4515894904920887E-4</v>
      </c>
      <c r="CR116" s="8">
        <f t="shared" si="110"/>
        <v>0</v>
      </c>
      <c r="CS116" s="8">
        <f t="shared" si="110"/>
        <v>2.2655188038060717E-4</v>
      </c>
      <c r="CT116" s="8">
        <f t="shared" si="110"/>
        <v>0</v>
      </c>
      <c r="CU116" s="8">
        <f t="shared" si="110"/>
        <v>-1.9314340898116851E-3</v>
      </c>
      <c r="CV116" s="8">
        <f t="shared" si="110"/>
        <v>-6.9637883008356546E-4</v>
      </c>
      <c r="CW116" s="8">
        <f t="shared" si="110"/>
        <v>1.1641443538998836E-3</v>
      </c>
      <c r="CX116" s="8">
        <f t="shared" si="110"/>
        <v>-1.7152658662092624E-3</v>
      </c>
      <c r="CY116" s="8">
        <f t="shared" si="110"/>
        <v>2.6525198938992041E-3</v>
      </c>
    </row>
    <row r="117" spans="1:104" x14ac:dyDescent="0.3">
      <c r="A117" s="10">
        <v>2016</v>
      </c>
      <c r="B117" s="8"/>
      <c r="C117" s="8">
        <f t="shared" ref="C117:AH117" si="111">C92/C18</f>
        <v>-1.7846319617482659E-3</v>
      </c>
      <c r="D117" s="8">
        <f t="shared" si="111"/>
        <v>-4.9924281506381985E-5</v>
      </c>
      <c r="E117" s="8">
        <f t="shared" si="111"/>
        <v>1.1578285752092361E-4</v>
      </c>
      <c r="F117" s="8">
        <f t="shared" si="111"/>
        <v>-1.1205557956746547E-4</v>
      </c>
      <c r="G117" s="8">
        <f t="shared" si="111"/>
        <v>-9.5266826503231136E-5</v>
      </c>
      <c r="H117" s="8">
        <f t="shared" si="111"/>
        <v>6.1798967957235111E-5</v>
      </c>
      <c r="I117" s="8">
        <f t="shared" si="111"/>
        <v>-1.2180453417378462E-4</v>
      </c>
      <c r="J117" s="8">
        <f t="shared" si="111"/>
        <v>-1.8587936429257412E-4</v>
      </c>
      <c r="K117" s="8">
        <f t="shared" si="111"/>
        <v>4.7625095250190499E-5</v>
      </c>
      <c r="L117" s="8">
        <f t="shared" si="111"/>
        <v>-1.1071394679404042E-4</v>
      </c>
      <c r="M117" s="8">
        <f t="shared" si="111"/>
        <v>3.2368744740078979E-5</v>
      </c>
      <c r="N117" s="8">
        <f t="shared" si="111"/>
        <v>-9.6719593777706129E-5</v>
      </c>
      <c r="O117" s="8">
        <f t="shared" si="111"/>
        <v>0</v>
      </c>
      <c r="P117" s="8">
        <f t="shared" si="111"/>
        <v>3.145487053837494E-4</v>
      </c>
      <c r="Q117" s="8">
        <f t="shared" si="111"/>
        <v>-3.7342512014547341E-4</v>
      </c>
      <c r="R117" s="8">
        <f t="shared" si="111"/>
        <v>2.7999004479840715E-4</v>
      </c>
      <c r="S117" s="8">
        <f t="shared" si="111"/>
        <v>4.6330615270570791E-5</v>
      </c>
      <c r="T117" s="8">
        <f t="shared" si="111"/>
        <v>2.4842020277299052E-4</v>
      </c>
      <c r="U117" s="8">
        <f t="shared" si="111"/>
        <v>7.5712836354275504E-5</v>
      </c>
      <c r="V117" s="8">
        <f t="shared" si="111"/>
        <v>3.5641094181591376E-4</v>
      </c>
      <c r="W117" s="8">
        <f t="shared" si="111"/>
        <v>4.4800191147482226E-5</v>
      </c>
      <c r="X117" s="8">
        <f t="shared" si="111"/>
        <v>2.8294019537765072E-4</v>
      </c>
      <c r="Y117" s="8">
        <f t="shared" si="111"/>
        <v>3.8327166590503708E-4</v>
      </c>
      <c r="Z117" s="8">
        <f t="shared" si="111"/>
        <v>-1.4378972191067782E-5</v>
      </c>
      <c r="AA117" s="8">
        <f t="shared" si="111"/>
        <v>1.1214691245531647E-4</v>
      </c>
      <c r="AB117" s="8">
        <f t="shared" si="111"/>
        <v>2.0470549702494677E-4</v>
      </c>
      <c r="AC117" s="8">
        <f t="shared" si="111"/>
        <v>2.3202172815242462E-4</v>
      </c>
      <c r="AD117" s="8">
        <f t="shared" si="111"/>
        <v>-1.3644798602772623E-4</v>
      </c>
      <c r="AE117" s="8">
        <f t="shared" si="111"/>
        <v>3.7906441287134272E-4</v>
      </c>
      <c r="AF117" s="8">
        <f t="shared" si="111"/>
        <v>0</v>
      </c>
      <c r="AG117" s="8">
        <f t="shared" si="111"/>
        <v>2.5531552743932712E-4</v>
      </c>
      <c r="AH117" s="8">
        <f t="shared" si="111"/>
        <v>-8.2705909194615555E-4</v>
      </c>
      <c r="AI117" s="8">
        <f t="shared" ref="AI117:BN117" si="112">AI92/AI18</f>
        <v>1.8607846785852311E-4</v>
      </c>
      <c r="AJ117" s="8">
        <f t="shared" si="112"/>
        <v>-2.8341457884593585E-5</v>
      </c>
      <c r="AK117" s="8">
        <f t="shared" si="112"/>
        <v>-8.6853304768246437E-5</v>
      </c>
      <c r="AL117" s="8">
        <f t="shared" si="112"/>
        <v>-2.8580819412092545E-5</v>
      </c>
      <c r="AM117" s="8">
        <f t="shared" si="112"/>
        <v>2.0239695826285582E-4</v>
      </c>
      <c r="AN117" s="8">
        <f t="shared" si="112"/>
        <v>-1.1645680180508043E-4</v>
      </c>
      <c r="AO117" s="8">
        <f t="shared" si="112"/>
        <v>0</v>
      </c>
      <c r="AP117" s="8">
        <f t="shared" si="112"/>
        <v>-1.1644154634373545E-4</v>
      </c>
      <c r="AQ117" s="8">
        <f t="shared" si="112"/>
        <v>2.8358335932847459E-5</v>
      </c>
      <c r="AR117" s="8">
        <f t="shared" si="112"/>
        <v>-6.8068885712340885E-5</v>
      </c>
      <c r="AS117" s="8">
        <f t="shared" si="112"/>
        <v>1.3565023942267258E-5</v>
      </c>
      <c r="AT117" s="8">
        <f t="shared" si="112"/>
        <v>7.8841554755459777E-5</v>
      </c>
      <c r="AU117" s="8">
        <f t="shared" si="112"/>
        <v>-6.5604744535124787E-5</v>
      </c>
      <c r="AV117" s="8">
        <f t="shared" si="112"/>
        <v>1.3263303093002281E-4</v>
      </c>
      <c r="AW117" s="8">
        <f t="shared" si="112"/>
        <v>5.1990589703263707E-5</v>
      </c>
      <c r="AX117" s="8">
        <f t="shared" si="112"/>
        <v>1.3134218579665603E-5</v>
      </c>
      <c r="AY117" s="8">
        <f t="shared" si="112"/>
        <v>9.4432527958773454E-5</v>
      </c>
      <c r="AZ117" s="8">
        <f t="shared" si="112"/>
        <v>-5.4293237777234842E-5</v>
      </c>
      <c r="BA117" s="8">
        <f t="shared" si="112"/>
        <v>1.1032352373334804E-4</v>
      </c>
      <c r="BB117" s="8">
        <f t="shared" si="112"/>
        <v>-2.8084365433763024E-5</v>
      </c>
      <c r="BC117" s="8">
        <f t="shared" si="112"/>
        <v>0</v>
      </c>
      <c r="BD117" s="8">
        <f t="shared" si="112"/>
        <v>9.0146939511403585E-5</v>
      </c>
      <c r="BE117" s="8">
        <f t="shared" si="112"/>
        <v>1.8366035079127001E-4</v>
      </c>
      <c r="BF117" s="8">
        <f t="shared" si="112"/>
        <v>0</v>
      </c>
      <c r="BG117" s="8">
        <f t="shared" si="112"/>
        <v>1.0856247770591975E-4</v>
      </c>
      <c r="BH117" s="8">
        <f t="shared" si="112"/>
        <v>-1.0977809142946757E-4</v>
      </c>
      <c r="BI117" s="8">
        <f t="shared" si="112"/>
        <v>1.606528933586094E-4</v>
      </c>
      <c r="BJ117" s="8">
        <f t="shared" si="112"/>
        <v>4.7798862387075188E-5</v>
      </c>
      <c r="BK117" s="8">
        <f t="shared" si="112"/>
        <v>9.8328416912487712E-5</v>
      </c>
      <c r="BL117" s="8">
        <f t="shared" si="112"/>
        <v>-3.3628140027575076E-5</v>
      </c>
      <c r="BM117" s="8">
        <f t="shared" si="112"/>
        <v>-8.5365020829065083E-5</v>
      </c>
      <c r="BN117" s="8">
        <f t="shared" si="112"/>
        <v>1.0445318756310713E-4</v>
      </c>
      <c r="BO117" s="8">
        <f t="shared" ref="BO117:CY117" si="113">BO92/BO18</f>
        <v>1.8323072412782175E-5</v>
      </c>
      <c r="BP117" s="8">
        <f t="shared" si="113"/>
        <v>5.4260341116677818E-5</v>
      </c>
      <c r="BQ117" s="8">
        <f t="shared" si="113"/>
        <v>7.2575523904563181E-5</v>
      </c>
      <c r="BR117" s="8">
        <f t="shared" si="113"/>
        <v>3.6116077071708469E-5</v>
      </c>
      <c r="BS117" s="8">
        <f t="shared" si="113"/>
        <v>0</v>
      </c>
      <c r="BT117" s="8">
        <f t="shared" si="113"/>
        <v>-1.7429193899782134E-5</v>
      </c>
      <c r="BU117" s="8">
        <f t="shared" si="113"/>
        <v>-1.9768315344166369E-5</v>
      </c>
      <c r="BV117" s="8">
        <f t="shared" si="113"/>
        <v>4.1721426038341991E-5</v>
      </c>
      <c r="BW117" s="8">
        <f t="shared" si="113"/>
        <v>4.7752071246090299E-5</v>
      </c>
      <c r="BX117" s="8">
        <f t="shared" si="113"/>
        <v>-2.103602419142782E-4</v>
      </c>
      <c r="BY117" s="8">
        <f t="shared" si="113"/>
        <v>9.2310532631773284E-5</v>
      </c>
      <c r="BZ117" s="8">
        <f t="shared" si="113"/>
        <v>-6.0631783180743344E-5</v>
      </c>
      <c r="CA117" s="8">
        <f t="shared" si="113"/>
        <v>6.4294210306361916E-5</v>
      </c>
      <c r="CB117" s="8">
        <f t="shared" si="113"/>
        <v>-6.8650671060309617E-5</v>
      </c>
      <c r="CC117" s="8">
        <f t="shared" si="113"/>
        <v>3.7314825180044035E-5</v>
      </c>
      <c r="CD117" s="8">
        <f t="shared" si="113"/>
        <v>1.2054001928640309E-4</v>
      </c>
      <c r="CE117" s="8">
        <f t="shared" si="113"/>
        <v>0</v>
      </c>
      <c r="CF117" s="8">
        <f t="shared" si="113"/>
        <v>9.2635479388605835E-5</v>
      </c>
      <c r="CG117" s="8">
        <f t="shared" si="113"/>
        <v>1.9624196634450278E-4</v>
      </c>
      <c r="CH117" s="8">
        <f t="shared" si="113"/>
        <v>-4.8809058961343227E-5</v>
      </c>
      <c r="CI117" s="8">
        <f t="shared" si="113"/>
        <v>-5.2890463849367956E-5</v>
      </c>
      <c r="CJ117" s="8">
        <f t="shared" si="113"/>
        <v>2.2465599550688009E-4</v>
      </c>
      <c r="CK117" s="8">
        <f t="shared" si="113"/>
        <v>6.4102564102564103E-5</v>
      </c>
      <c r="CL117" s="8">
        <f t="shared" si="113"/>
        <v>1.3877324451845685E-4</v>
      </c>
      <c r="CM117" s="8">
        <f t="shared" si="113"/>
        <v>0</v>
      </c>
      <c r="CN117" s="8">
        <f t="shared" si="113"/>
        <v>0</v>
      </c>
      <c r="CO117" s="8">
        <f t="shared" si="113"/>
        <v>-3.1043046357615895E-4</v>
      </c>
      <c r="CP117" s="8">
        <f t="shared" si="113"/>
        <v>1.2071463061323032E-4</v>
      </c>
      <c r="CQ117" s="8">
        <f t="shared" si="113"/>
        <v>1.4896469536719798E-4</v>
      </c>
      <c r="CR117" s="8">
        <f t="shared" si="113"/>
        <v>-1.8027762754642149E-4</v>
      </c>
      <c r="CS117" s="8">
        <f t="shared" si="113"/>
        <v>2.3153507756425097E-4</v>
      </c>
      <c r="CT117" s="8">
        <f t="shared" si="113"/>
        <v>-2.9542097488921711E-4</v>
      </c>
      <c r="CU117" s="8">
        <f t="shared" si="113"/>
        <v>0</v>
      </c>
      <c r="CV117" s="8">
        <f t="shared" si="113"/>
        <v>6.8446269678302531E-4</v>
      </c>
      <c r="CW117" s="8">
        <f t="shared" si="113"/>
        <v>1.0256410256410256E-3</v>
      </c>
      <c r="CX117" s="8">
        <f t="shared" si="113"/>
        <v>1.6863406408094434E-3</v>
      </c>
      <c r="CY117" s="8">
        <f t="shared" si="113"/>
        <v>-5.1679586563307496E-3</v>
      </c>
    </row>
    <row r="118" spans="1:104" x14ac:dyDescent="0.3">
      <c r="A118" s="10">
        <v>2017</v>
      </c>
      <c r="B118" s="8"/>
      <c r="C118" s="8">
        <f t="shared" ref="C118:AH118" si="114">C93/C19</f>
        <v>-1.4493974888345833E-3</v>
      </c>
      <c r="D118" s="8">
        <f t="shared" si="114"/>
        <v>1.6666666666666666E-4</v>
      </c>
      <c r="E118" s="8">
        <f t="shared" si="114"/>
        <v>-2.1462061678663408E-4</v>
      </c>
      <c r="F118" s="8">
        <f t="shared" si="114"/>
        <v>6.5781900110184683E-5</v>
      </c>
      <c r="G118" s="8">
        <f t="shared" si="114"/>
        <v>-1.5928893419774127E-4</v>
      </c>
      <c r="H118" s="8">
        <f t="shared" si="114"/>
        <v>7.9015155106749481E-5</v>
      </c>
      <c r="I118" s="8">
        <f t="shared" si="114"/>
        <v>1.3837851135472563E-4</v>
      </c>
      <c r="J118" s="8">
        <f t="shared" si="114"/>
        <v>-2.5722888831726916E-4</v>
      </c>
      <c r="K118" s="8">
        <f t="shared" si="114"/>
        <v>3.0771597815216554E-5</v>
      </c>
      <c r="L118" s="8">
        <f t="shared" si="114"/>
        <v>-4.7311895787664215E-5</v>
      </c>
      <c r="M118" s="8">
        <f t="shared" si="114"/>
        <v>6.2823935919585367E-5</v>
      </c>
      <c r="N118" s="8">
        <f t="shared" si="114"/>
        <v>9.6456819497138443E-5</v>
      </c>
      <c r="O118" s="8">
        <f t="shared" si="114"/>
        <v>1.6001280102408193E-4</v>
      </c>
      <c r="P118" s="8">
        <f t="shared" si="114"/>
        <v>-1.2888881728399039E-4</v>
      </c>
      <c r="Q118" s="8">
        <f t="shared" si="114"/>
        <v>-1.312163758037003E-4</v>
      </c>
      <c r="R118" s="8">
        <f t="shared" si="114"/>
        <v>1.123325042124689E-4</v>
      </c>
      <c r="S118" s="8">
        <f t="shared" si="114"/>
        <v>9.1925846483836366E-5</v>
      </c>
      <c r="T118" s="8">
        <f t="shared" si="114"/>
        <v>1.5207737696940204E-4</v>
      </c>
      <c r="U118" s="8">
        <f t="shared" si="114"/>
        <v>2.3027679270483121E-4</v>
      </c>
      <c r="V118" s="8">
        <f t="shared" si="114"/>
        <v>2.1039975954313195E-4</v>
      </c>
      <c r="W118" s="8">
        <f t="shared" si="114"/>
        <v>-1.9106969634615951E-4</v>
      </c>
      <c r="X118" s="8">
        <f t="shared" si="114"/>
        <v>1.0766485258764361E-3</v>
      </c>
      <c r="Y118" s="8">
        <f t="shared" si="114"/>
        <v>2.7922287864091938E-4</v>
      </c>
      <c r="Z118" s="8">
        <f t="shared" si="114"/>
        <v>-5.5242996496431007E-4</v>
      </c>
      <c r="AA118" s="8">
        <f t="shared" si="114"/>
        <v>5.2387155235883789E-4</v>
      </c>
      <c r="AB118" s="8">
        <f t="shared" si="114"/>
        <v>1.3775053378331842E-4</v>
      </c>
      <c r="AC118" s="8">
        <f t="shared" si="114"/>
        <v>8.0475341014257554E-5</v>
      </c>
      <c r="AD118" s="8">
        <f t="shared" si="114"/>
        <v>9.9478410496316606E-4</v>
      </c>
      <c r="AE118" s="8">
        <f t="shared" si="114"/>
        <v>-5.3843047516489434E-5</v>
      </c>
      <c r="AF118" s="8">
        <f t="shared" si="114"/>
        <v>2.6349364841626448E-4</v>
      </c>
      <c r="AG118" s="8">
        <f t="shared" si="114"/>
        <v>-9.7032200828932235E-5</v>
      </c>
      <c r="AH118" s="8">
        <f t="shared" si="114"/>
        <v>-1.6884761502743774E-4</v>
      </c>
      <c r="AI118" s="8">
        <f t="shared" ref="AI118:BN118" si="115">AI93/AI19</f>
        <v>-9.3489716131225562E-4</v>
      </c>
      <c r="AJ118" s="8">
        <f t="shared" si="115"/>
        <v>5.6952473161147022E-5</v>
      </c>
      <c r="AK118" s="8">
        <f t="shared" si="115"/>
        <v>-3.9524575816605968E-4</v>
      </c>
      <c r="AL118" s="8">
        <f t="shared" si="115"/>
        <v>-8.6645101663585951E-5</v>
      </c>
      <c r="AM118" s="8">
        <f t="shared" si="115"/>
        <v>-1.7054417804812189E-4</v>
      </c>
      <c r="AN118" s="8">
        <f t="shared" si="115"/>
        <v>0</v>
      </c>
      <c r="AO118" s="8">
        <f t="shared" si="115"/>
        <v>8.7024627969715425E-5</v>
      </c>
      <c r="AP118" s="8">
        <f t="shared" si="115"/>
        <v>-7.4440209623630302E-5</v>
      </c>
      <c r="AQ118" s="8">
        <f t="shared" si="115"/>
        <v>1.4528126452812645E-5</v>
      </c>
      <c r="AR118" s="8">
        <f t="shared" si="115"/>
        <v>-4.2477274658057941E-5</v>
      </c>
      <c r="AS118" s="8">
        <f t="shared" si="115"/>
        <v>-4.077527387392285E-5</v>
      </c>
      <c r="AT118" s="8">
        <f t="shared" si="115"/>
        <v>2.0325478665022561E-4</v>
      </c>
      <c r="AU118" s="8">
        <f t="shared" si="115"/>
        <v>1.3126977250948424E-4</v>
      </c>
      <c r="AV118" s="8">
        <f t="shared" si="115"/>
        <v>-2.4926859346916284E-4</v>
      </c>
      <c r="AW118" s="8">
        <f t="shared" si="115"/>
        <v>-2.651429783510758E-5</v>
      </c>
      <c r="AX118" s="8">
        <f t="shared" si="115"/>
        <v>-7.804370447450572E-5</v>
      </c>
      <c r="AY118" s="8">
        <f t="shared" si="115"/>
        <v>-6.567885666246322E-5</v>
      </c>
      <c r="AZ118" s="8">
        <f t="shared" si="115"/>
        <v>0</v>
      </c>
      <c r="BA118" s="8">
        <f t="shared" si="115"/>
        <v>1.4943012783068209E-4</v>
      </c>
      <c r="BB118" s="8">
        <f t="shared" si="115"/>
        <v>4.1440470763747879E-5</v>
      </c>
      <c r="BC118" s="8">
        <f t="shared" si="115"/>
        <v>1.9701106076384003E-4</v>
      </c>
      <c r="BD118" s="8">
        <f t="shared" si="115"/>
        <v>-2.9359091042541322E-5</v>
      </c>
      <c r="BE118" s="8">
        <f t="shared" si="115"/>
        <v>0</v>
      </c>
      <c r="BF118" s="8">
        <f t="shared" si="115"/>
        <v>2.1494480524465325E-4</v>
      </c>
      <c r="BG118" s="8">
        <f t="shared" si="115"/>
        <v>-3.1102747927779417E-5</v>
      </c>
      <c r="BH118" s="8">
        <f t="shared" si="115"/>
        <v>1.7131554766465761E-4</v>
      </c>
      <c r="BI118" s="8">
        <f t="shared" si="115"/>
        <v>-3.1510453592979469E-5</v>
      </c>
      <c r="BJ118" s="8">
        <f t="shared" si="115"/>
        <v>-4.8453524993943309E-5</v>
      </c>
      <c r="BK118" s="8">
        <f t="shared" si="115"/>
        <v>-8.0067897577145426E-5</v>
      </c>
      <c r="BL118" s="8">
        <f t="shared" si="115"/>
        <v>-4.9484536082474225E-5</v>
      </c>
      <c r="BM118" s="8">
        <f t="shared" si="115"/>
        <v>1.3550135501355014E-4</v>
      </c>
      <c r="BN118" s="8">
        <f t="shared" si="115"/>
        <v>-5.1634223163112509E-5</v>
      </c>
      <c r="BO118" s="8">
        <f t="shared" ref="BO118:CY118" si="116">BO93/BO19</f>
        <v>-7.0170514349870191E-5</v>
      </c>
      <c r="BP118" s="8">
        <f t="shared" si="116"/>
        <v>2.0343246042313953E-4</v>
      </c>
      <c r="BQ118" s="8">
        <f t="shared" si="116"/>
        <v>-7.3062029663184045E-5</v>
      </c>
      <c r="BR118" s="8">
        <f t="shared" si="116"/>
        <v>-9.1711146572754452E-5</v>
      </c>
      <c r="BS118" s="8">
        <f t="shared" si="116"/>
        <v>-3.6542361732838795E-5</v>
      </c>
      <c r="BT118" s="8">
        <f t="shared" si="116"/>
        <v>1.2639029322548029E-4</v>
      </c>
      <c r="BU118" s="8">
        <f t="shared" si="116"/>
        <v>-1.7664723547076487E-5</v>
      </c>
      <c r="BV118" s="8">
        <f t="shared" si="116"/>
        <v>2.0057364061215075E-5</v>
      </c>
      <c r="BW118" s="8">
        <f t="shared" si="116"/>
        <v>-1.0610304727951786E-4</v>
      </c>
      <c r="BX118" s="8">
        <f t="shared" si="116"/>
        <v>4.8595587520653125E-5</v>
      </c>
      <c r="BY118" s="8">
        <f t="shared" si="116"/>
        <v>0</v>
      </c>
      <c r="BZ118" s="8">
        <f t="shared" si="116"/>
        <v>9.433072351664937E-5</v>
      </c>
      <c r="CA118" s="8">
        <f t="shared" si="116"/>
        <v>-6.2136887563301951E-5</v>
      </c>
      <c r="CB118" s="8">
        <f t="shared" si="116"/>
        <v>3.3022917905026086E-4</v>
      </c>
      <c r="CC118" s="8">
        <f t="shared" si="116"/>
        <v>-3.1914893617021275E-4</v>
      </c>
      <c r="CD118" s="8">
        <f t="shared" si="116"/>
        <v>3.86742468190432E-5</v>
      </c>
      <c r="CE118" s="8">
        <f t="shared" si="116"/>
        <v>-8.3629521220991005E-5</v>
      </c>
      <c r="CF118" s="8">
        <f t="shared" si="116"/>
        <v>-9.1420213009096312E-5</v>
      </c>
      <c r="CG118" s="8">
        <f t="shared" si="116"/>
        <v>-9.7699184211811835E-5</v>
      </c>
      <c r="CH118" s="8">
        <f t="shared" si="116"/>
        <v>5.2034550941825375E-5</v>
      </c>
      <c r="CI118" s="8">
        <f t="shared" si="116"/>
        <v>5.229851995188536E-5</v>
      </c>
      <c r="CJ118" s="8">
        <f t="shared" si="116"/>
        <v>1.7074558907228231E-4</v>
      </c>
      <c r="CK118" s="8">
        <f t="shared" si="116"/>
        <v>-2.4515812699190976E-4</v>
      </c>
      <c r="CL118" s="8">
        <f t="shared" si="116"/>
        <v>2.1419391689276026E-4</v>
      </c>
      <c r="CM118" s="8">
        <f t="shared" si="116"/>
        <v>7.7863427548080662E-5</v>
      </c>
      <c r="CN118" s="8">
        <f t="shared" si="116"/>
        <v>-9.0628965017219509E-5</v>
      </c>
      <c r="CO118" s="8">
        <f t="shared" si="116"/>
        <v>-2.0199979800020201E-4</v>
      </c>
      <c r="CP118" s="8">
        <f t="shared" si="116"/>
        <v>3.656752803510483E-4</v>
      </c>
      <c r="CQ118" s="8">
        <f t="shared" si="116"/>
        <v>1.4583637159107482E-4</v>
      </c>
      <c r="CR118" s="8">
        <f t="shared" si="116"/>
        <v>-3.7037037037037035E-4</v>
      </c>
      <c r="CS118" s="8">
        <f t="shared" si="116"/>
        <v>-4.5714285714285713E-4</v>
      </c>
      <c r="CT118" s="8">
        <f t="shared" si="116"/>
        <v>0</v>
      </c>
      <c r="CU118" s="8">
        <f t="shared" si="116"/>
        <v>-8.0742834073475975E-4</v>
      </c>
      <c r="CV118" s="8">
        <f t="shared" si="116"/>
        <v>-6.7980965329707678E-4</v>
      </c>
      <c r="CW118" s="8">
        <f t="shared" si="116"/>
        <v>0</v>
      </c>
      <c r="CX118" s="8">
        <f t="shared" si="116"/>
        <v>-6.0975609756097563E-3</v>
      </c>
      <c r="CY118" s="8">
        <f t="shared" si="116"/>
        <v>0</v>
      </c>
    </row>
    <row r="119" spans="1:104" x14ac:dyDescent="0.3">
      <c r="A119" s="10">
        <v>2018</v>
      </c>
      <c r="B119" s="8"/>
      <c r="C119" s="8">
        <f t="shared" ref="C119:AH119" si="117">C94/C20</f>
        <v>-2.8087422101290266E-4</v>
      </c>
      <c r="D119" s="8">
        <f t="shared" si="117"/>
        <v>2.6636922103650922E-4</v>
      </c>
      <c r="E119" s="8">
        <f t="shared" si="117"/>
        <v>2.1493998214344763E-4</v>
      </c>
      <c r="F119" s="8">
        <f t="shared" si="117"/>
        <v>-2.9551312570800018E-4</v>
      </c>
      <c r="G119" s="8">
        <f t="shared" si="117"/>
        <v>3.2704320240703798E-5</v>
      </c>
      <c r="H119" s="8">
        <f t="shared" si="117"/>
        <v>-9.5204849100314181E-5</v>
      </c>
      <c r="I119" s="8">
        <f t="shared" si="117"/>
        <v>3.1472272927550825E-5</v>
      </c>
      <c r="J119" s="8">
        <f t="shared" si="117"/>
        <v>9.1827364554637278E-5</v>
      </c>
      <c r="K119" s="8">
        <f t="shared" si="117"/>
        <v>4.5193654810864554E-5</v>
      </c>
      <c r="L119" s="8">
        <f t="shared" si="117"/>
        <v>-4.5884890105688195E-5</v>
      </c>
      <c r="M119" s="8">
        <f t="shared" si="117"/>
        <v>-6.2694942085547248E-5</v>
      </c>
      <c r="N119" s="8">
        <f t="shared" si="117"/>
        <v>7.8038426121021986E-5</v>
      </c>
      <c r="O119" s="8">
        <f t="shared" si="117"/>
        <v>-7.9927106478891251E-5</v>
      </c>
      <c r="P119" s="8">
        <f t="shared" si="117"/>
        <v>1.5903813734533542E-5</v>
      </c>
      <c r="Q119" s="8">
        <f t="shared" si="117"/>
        <v>-9.6190842631781461E-5</v>
      </c>
      <c r="R119" s="8">
        <f t="shared" si="117"/>
        <v>8.1494279101607063E-5</v>
      </c>
      <c r="S119" s="8">
        <f t="shared" si="117"/>
        <v>1.7514250230869663E-4</v>
      </c>
      <c r="T119" s="8">
        <f t="shared" si="117"/>
        <v>4.7031693292673676E-4</v>
      </c>
      <c r="U119" s="8">
        <f t="shared" si="117"/>
        <v>-2.4102193299590263E-4</v>
      </c>
      <c r="V119" s="8">
        <f t="shared" si="117"/>
        <v>0</v>
      </c>
      <c r="W119" s="8">
        <f t="shared" si="117"/>
        <v>3.5839617710744419E-4</v>
      </c>
      <c r="X119" s="8">
        <f t="shared" si="117"/>
        <v>1.8969517444660081E-4</v>
      </c>
      <c r="Y119" s="8">
        <f t="shared" si="117"/>
        <v>7.896930433892456E-4</v>
      </c>
      <c r="Z119" s="8">
        <f t="shared" si="117"/>
        <v>3.0537015224883307E-4</v>
      </c>
      <c r="AA119" s="8">
        <f t="shared" si="117"/>
        <v>3.7289885835580286E-4</v>
      </c>
      <c r="AB119" s="8">
        <f t="shared" si="117"/>
        <v>4.4506877703445112E-4</v>
      </c>
      <c r="AC119" s="8">
        <f t="shared" si="117"/>
        <v>4.2034468263976461E-4</v>
      </c>
      <c r="AD119" s="8">
        <f t="shared" si="117"/>
        <v>-3.972247232667761E-5</v>
      </c>
      <c r="AE119" s="8">
        <f t="shared" si="117"/>
        <v>-1.9897329778343747E-4</v>
      </c>
      <c r="AF119" s="8">
        <f t="shared" si="117"/>
        <v>3.9991468486722835E-5</v>
      </c>
      <c r="AG119" s="8">
        <f t="shared" si="117"/>
        <v>6.8751203146055051E-5</v>
      </c>
      <c r="AH119" s="8">
        <f t="shared" si="117"/>
        <v>-2.7544415369783778E-4</v>
      </c>
      <c r="AI119" s="8">
        <f t="shared" ref="AI119:BN119" si="118">AI94/AI20</f>
        <v>-2.5174121003608291E-4</v>
      </c>
      <c r="AJ119" s="8">
        <f t="shared" si="118"/>
        <v>-1.2680521310320535E-4</v>
      </c>
      <c r="AK119" s="8">
        <f t="shared" si="118"/>
        <v>-8.5012326787384173E-5</v>
      </c>
      <c r="AL119" s="8">
        <f t="shared" si="118"/>
        <v>5.6198718669214342E-5</v>
      </c>
      <c r="AM119" s="8">
        <f t="shared" si="118"/>
        <v>-2.8756703906598225E-5</v>
      </c>
      <c r="AN119" s="8">
        <f t="shared" si="118"/>
        <v>-9.9147332936744002E-5</v>
      </c>
      <c r="AO119" s="8">
        <f t="shared" si="118"/>
        <v>-2.300007187522461E-4</v>
      </c>
      <c r="AP119" s="8">
        <f t="shared" si="118"/>
        <v>-2.1707355899335754E-4</v>
      </c>
      <c r="AQ119" s="8">
        <f t="shared" si="118"/>
        <v>2.525590170997311E-4</v>
      </c>
      <c r="AR119" s="8">
        <f t="shared" si="118"/>
        <v>7.2519471478091867E-5</v>
      </c>
      <c r="AS119" s="8">
        <f t="shared" si="118"/>
        <v>-2.6874876234122608E-4</v>
      </c>
      <c r="AT119" s="8">
        <f t="shared" si="118"/>
        <v>-1.3586033557502887E-5</v>
      </c>
      <c r="AU119" s="8">
        <f t="shared" si="118"/>
        <v>-1.6252895046930236E-4</v>
      </c>
      <c r="AV119" s="8">
        <f t="shared" si="118"/>
        <v>3.9375246095288097E-5</v>
      </c>
      <c r="AW119" s="8">
        <f t="shared" si="118"/>
        <v>7.8731891664917075E-5</v>
      </c>
      <c r="AX119" s="8">
        <f t="shared" si="118"/>
        <v>6.6335871786027016E-5</v>
      </c>
      <c r="AY119" s="8">
        <f t="shared" si="118"/>
        <v>-1.4315088102860414E-4</v>
      </c>
      <c r="AZ119" s="8">
        <f t="shared" si="118"/>
        <v>1.4462266631606627E-4</v>
      </c>
      <c r="BA119" s="8">
        <f t="shared" si="118"/>
        <v>-1.8920708715689321E-4</v>
      </c>
      <c r="BB119" s="8">
        <f t="shared" si="118"/>
        <v>2.3145311712889215E-4</v>
      </c>
      <c r="BC119" s="8">
        <f t="shared" si="118"/>
        <v>-1.3836042891732964E-5</v>
      </c>
      <c r="BD119" s="8">
        <f t="shared" si="118"/>
        <v>-5.6419876722569363E-5</v>
      </c>
      <c r="BE119" s="8">
        <f t="shared" si="118"/>
        <v>5.8885012292246318E-5</v>
      </c>
      <c r="BF119" s="8">
        <f t="shared" si="118"/>
        <v>-6.0486919703614091E-5</v>
      </c>
      <c r="BG119" s="8">
        <f t="shared" si="118"/>
        <v>1.3859373556315255E-4</v>
      </c>
      <c r="BH119" s="8">
        <f t="shared" si="118"/>
        <v>3.1222192734595753E-5</v>
      </c>
      <c r="BI119" s="8">
        <f t="shared" si="118"/>
        <v>0</v>
      </c>
      <c r="BJ119" s="8">
        <f t="shared" si="118"/>
        <v>7.9155255117387241E-5</v>
      </c>
      <c r="BK119" s="8">
        <f t="shared" si="118"/>
        <v>-1.2991441887656507E-4</v>
      </c>
      <c r="BL119" s="8">
        <f t="shared" si="118"/>
        <v>1.6113957910341938E-4</v>
      </c>
      <c r="BM119" s="8">
        <f t="shared" si="118"/>
        <v>1.3277567549624909E-4</v>
      </c>
      <c r="BN119" s="8">
        <f t="shared" si="118"/>
        <v>-1.7049426286805448E-5</v>
      </c>
      <c r="BO119" s="8">
        <f t="shared" ref="BO119:CY119" si="119">BO94/BO20</f>
        <v>-1.5614969550809376E-4</v>
      </c>
      <c r="BP119" s="8">
        <f t="shared" si="119"/>
        <v>1.0618153503105811E-4</v>
      </c>
      <c r="BQ119" s="8">
        <f t="shared" si="119"/>
        <v>5.6012995014843446E-5</v>
      </c>
      <c r="BR119" s="8">
        <f t="shared" si="119"/>
        <v>-9.2404361485862136E-5</v>
      </c>
      <c r="BS119" s="8">
        <f t="shared" si="119"/>
        <v>3.7107816761600833E-5</v>
      </c>
      <c r="BT119" s="8">
        <f t="shared" si="119"/>
        <v>-9.2472720547438506E-5</v>
      </c>
      <c r="BU119" s="8">
        <f t="shared" si="119"/>
        <v>1.8295583446156097E-5</v>
      </c>
      <c r="BV119" s="8">
        <f t="shared" si="119"/>
        <v>7.1689726862140651E-5</v>
      </c>
      <c r="BW119" s="8">
        <f t="shared" si="119"/>
        <v>-2.0397340186839637E-5</v>
      </c>
      <c r="BX119" s="8">
        <f t="shared" si="119"/>
        <v>-6.4853646936746074E-5</v>
      </c>
      <c r="BY119" s="8">
        <f t="shared" si="119"/>
        <v>2.479359333548211E-5</v>
      </c>
      <c r="BZ119" s="8">
        <f t="shared" si="119"/>
        <v>0</v>
      </c>
      <c r="CA119" s="8">
        <f t="shared" si="119"/>
        <v>-6.4395646854272656E-5</v>
      </c>
      <c r="CB119" s="8">
        <f t="shared" si="119"/>
        <v>1.2773839177364756E-4</v>
      </c>
      <c r="CC119" s="8">
        <f t="shared" si="119"/>
        <v>2.725074087951766E-4</v>
      </c>
      <c r="CD119" s="8">
        <f t="shared" si="119"/>
        <v>-1.1021712774165106E-4</v>
      </c>
      <c r="CE119" s="8">
        <f t="shared" si="119"/>
        <v>0</v>
      </c>
      <c r="CF119" s="8">
        <f t="shared" si="119"/>
        <v>-4.3782837127845886E-5</v>
      </c>
      <c r="CG119" s="8">
        <f t="shared" si="119"/>
        <v>4.8164916674694154E-5</v>
      </c>
      <c r="CH119" s="8">
        <f t="shared" si="119"/>
        <v>-5.1684928674798427E-5</v>
      </c>
      <c r="CI119" s="8">
        <f t="shared" si="119"/>
        <v>1.6679639719782054E-4</v>
      </c>
      <c r="CJ119" s="8">
        <f t="shared" si="119"/>
        <v>1.1316697787585583E-4</v>
      </c>
      <c r="CK119" s="8">
        <f t="shared" si="119"/>
        <v>1.8634697807317225E-4</v>
      </c>
      <c r="CL119" s="8">
        <f t="shared" si="119"/>
        <v>-1.3570362328674176E-4</v>
      </c>
      <c r="CM119" s="8">
        <f t="shared" si="119"/>
        <v>7.9770261646458206E-5</v>
      </c>
      <c r="CN119" s="8">
        <f t="shared" si="119"/>
        <v>1.7750954113783616E-4</v>
      </c>
      <c r="CO119" s="8">
        <f t="shared" si="119"/>
        <v>0</v>
      </c>
      <c r="CP119" s="8">
        <f t="shared" si="119"/>
        <v>5.9794307581918196E-4</v>
      </c>
      <c r="CQ119" s="8">
        <f t="shared" si="119"/>
        <v>-5.890148726255338E-4</v>
      </c>
      <c r="CR119" s="8">
        <f t="shared" si="119"/>
        <v>0</v>
      </c>
      <c r="CS119" s="8">
        <f t="shared" si="119"/>
        <v>-7.0804814727401467E-4</v>
      </c>
      <c r="CT119" s="8">
        <f t="shared" si="119"/>
        <v>0</v>
      </c>
      <c r="CU119" s="8">
        <f t="shared" si="119"/>
        <v>0</v>
      </c>
      <c r="CV119" s="8">
        <f t="shared" si="119"/>
        <v>-5.6338028169014088E-4</v>
      </c>
      <c r="CW119" s="8">
        <f t="shared" si="119"/>
        <v>-2.9296875E-3</v>
      </c>
      <c r="CX119" s="8">
        <f t="shared" si="119"/>
        <v>0</v>
      </c>
      <c r="CY119" s="8">
        <f t="shared" si="119"/>
        <v>-2.3094688221709007E-3</v>
      </c>
    </row>
    <row r="120" spans="1:104" x14ac:dyDescent="0.3">
      <c r="A120" s="10">
        <v>2019</v>
      </c>
      <c r="B120" s="8"/>
      <c r="C120" s="8">
        <f t="shared" ref="C120:AH120" si="120">C95/C21</f>
        <v>1.8053474391146576E-4</v>
      </c>
      <c r="D120" s="8">
        <f t="shared" si="120"/>
        <v>8.6880973066898347E-5</v>
      </c>
      <c r="E120" s="8">
        <f t="shared" si="120"/>
        <v>2.1542081627918538E-4</v>
      </c>
      <c r="F120" s="8">
        <f t="shared" si="120"/>
        <v>1.1549439852167169E-4</v>
      </c>
      <c r="G120" s="8">
        <f t="shared" si="120"/>
        <v>-3.2805170094806941E-5</v>
      </c>
      <c r="H120" s="8">
        <f t="shared" si="120"/>
        <v>-1.4687642796527188E-4</v>
      </c>
      <c r="I120" s="8">
        <f t="shared" si="120"/>
        <v>3.1703257509709124E-5</v>
      </c>
      <c r="J120" s="8">
        <f t="shared" si="120"/>
        <v>-1.5717833453836724E-5</v>
      </c>
      <c r="K120" s="8">
        <f t="shared" si="120"/>
        <v>6.106497313141182E-5</v>
      </c>
      <c r="L120" s="8">
        <f t="shared" si="120"/>
        <v>-1.5022684253222367E-4</v>
      </c>
      <c r="M120" s="8">
        <f t="shared" si="120"/>
        <v>2.4380209365047921E-4</v>
      </c>
      <c r="N120" s="8">
        <f t="shared" si="120"/>
        <v>-1.7171133763132016E-4</v>
      </c>
      <c r="O120" s="8">
        <f t="shared" si="120"/>
        <v>1.3985361987786118E-4</v>
      </c>
      <c r="P120" s="8">
        <f t="shared" si="120"/>
        <v>-1.9096724911677647E-4</v>
      </c>
      <c r="Q120" s="8">
        <f t="shared" si="120"/>
        <v>9.4992321454015805E-5</v>
      </c>
      <c r="R120" s="8">
        <f t="shared" si="120"/>
        <v>1.5962711106854388E-5</v>
      </c>
      <c r="S120" s="8">
        <f t="shared" si="120"/>
        <v>6.4797265555393562E-5</v>
      </c>
      <c r="T120" s="8">
        <f t="shared" si="120"/>
        <v>3.4825004353125546E-4</v>
      </c>
      <c r="U120" s="8">
        <f t="shared" si="120"/>
        <v>-2.2603637678757102E-4</v>
      </c>
      <c r="V120" s="8">
        <f t="shared" si="120"/>
        <v>1.5017720910674597E-5</v>
      </c>
      <c r="W120" s="8">
        <f t="shared" si="120"/>
        <v>5.3140610054203423E-4</v>
      </c>
      <c r="X120" s="8">
        <f t="shared" si="120"/>
        <v>4.4492562326664393E-5</v>
      </c>
      <c r="Y120" s="8">
        <f t="shared" si="120"/>
        <v>-3.0345066759146868E-4</v>
      </c>
      <c r="Z120" s="8">
        <f t="shared" si="120"/>
        <v>5.6461186553551264E-4</v>
      </c>
      <c r="AA120" s="8">
        <f t="shared" si="120"/>
        <v>-7.177411251309878E-5</v>
      </c>
      <c r="AB120" s="8">
        <f t="shared" si="120"/>
        <v>7.0624461488481144E-5</v>
      </c>
      <c r="AC120" s="8">
        <f t="shared" si="120"/>
        <v>2.8776978417266187E-4</v>
      </c>
      <c r="AD120" s="8">
        <f t="shared" si="120"/>
        <v>-1.336255278208349E-4</v>
      </c>
      <c r="AE120" s="8">
        <f t="shared" si="120"/>
        <v>1.8308072552276086E-4</v>
      </c>
      <c r="AF120" s="8">
        <f t="shared" si="120"/>
        <v>-1.3138705311978557E-4</v>
      </c>
      <c r="AG120" s="8">
        <f t="shared" si="120"/>
        <v>3.9640068180917272E-5</v>
      </c>
      <c r="AH120" s="8">
        <f t="shared" si="120"/>
        <v>-2.4567341813615766E-4</v>
      </c>
      <c r="AI120" s="8">
        <f t="shared" ref="AI120:BN120" si="121">AI95/AI21</f>
        <v>-6.8542914718905501E-5</v>
      </c>
      <c r="AJ120" s="8">
        <f t="shared" si="121"/>
        <v>1.5303283249860878E-4</v>
      </c>
      <c r="AK120" s="8">
        <f t="shared" si="121"/>
        <v>-7.0228664531715265E-5</v>
      </c>
      <c r="AL120" s="8">
        <f t="shared" si="121"/>
        <v>-2.8230644364457617E-5</v>
      </c>
      <c r="AM120" s="8">
        <f t="shared" si="121"/>
        <v>-1.1210133961100834E-4</v>
      </c>
      <c r="AN120" s="8">
        <f t="shared" si="121"/>
        <v>-3.7294699849386791E-4</v>
      </c>
      <c r="AO120" s="8">
        <f t="shared" si="121"/>
        <v>4.2404025555492736E-5</v>
      </c>
      <c r="AP120" s="8">
        <f t="shared" si="121"/>
        <v>2.0078881319469344E-4</v>
      </c>
      <c r="AQ120" s="8">
        <f t="shared" si="121"/>
        <v>-1.4441058818432568E-5</v>
      </c>
      <c r="AR120" s="8">
        <f t="shared" si="121"/>
        <v>1.7814991315191734E-4</v>
      </c>
      <c r="AS120" s="8">
        <f t="shared" si="121"/>
        <v>-2.8973330049689259E-4</v>
      </c>
      <c r="AT120" s="8">
        <f t="shared" si="121"/>
        <v>2.8229050515885898E-5</v>
      </c>
      <c r="AU120" s="8">
        <f t="shared" si="121"/>
        <v>-4.0690656069011352E-5</v>
      </c>
      <c r="AV120" s="8">
        <f t="shared" si="121"/>
        <v>3.656901385559303E-4</v>
      </c>
      <c r="AW120" s="8">
        <f t="shared" si="121"/>
        <v>6.5574630486957204E-5</v>
      </c>
      <c r="AX120" s="8">
        <f t="shared" si="121"/>
        <v>1.7054548316847271E-4</v>
      </c>
      <c r="AY120" s="8">
        <f t="shared" si="121"/>
        <v>-1.1943784587209534E-4</v>
      </c>
      <c r="AZ120" s="8">
        <f t="shared" si="121"/>
        <v>5.2105722510974765E-5</v>
      </c>
      <c r="BA120" s="8">
        <f t="shared" si="121"/>
        <v>-3.9497590646970533E-5</v>
      </c>
      <c r="BB120" s="8">
        <f t="shared" si="121"/>
        <v>6.7642522795530188E-5</v>
      </c>
      <c r="BC120" s="8">
        <f t="shared" si="121"/>
        <v>-1.3634008671229515E-5</v>
      </c>
      <c r="BD120" s="8">
        <f t="shared" si="121"/>
        <v>1.387097221644265E-4</v>
      </c>
      <c r="BE120" s="8">
        <f t="shared" si="121"/>
        <v>1.8378974453225509E-4</v>
      </c>
      <c r="BF120" s="8">
        <f t="shared" si="121"/>
        <v>1.1812825775585842E-4</v>
      </c>
      <c r="BG120" s="8">
        <f t="shared" si="121"/>
        <v>0</v>
      </c>
      <c r="BH120" s="8">
        <f t="shared" si="121"/>
        <v>0</v>
      </c>
      <c r="BI120" s="8">
        <f t="shared" si="121"/>
        <v>-4.7048491311711937E-5</v>
      </c>
      <c r="BJ120" s="8">
        <f t="shared" si="121"/>
        <v>7.8642319004702804E-5</v>
      </c>
      <c r="BK120" s="8">
        <f t="shared" si="121"/>
        <v>1.1136920482387756E-4</v>
      </c>
      <c r="BL120" s="8">
        <f t="shared" si="121"/>
        <v>1.6336399130903567E-5</v>
      </c>
      <c r="BM120" s="8">
        <f t="shared" si="121"/>
        <v>1.2971220105391165E-4</v>
      </c>
      <c r="BN120" s="8">
        <f t="shared" si="121"/>
        <v>-8.3626024418799124E-5</v>
      </c>
      <c r="BO120" s="8">
        <f t="shared" ref="BO120:CY120" si="122">BO95/BO21</f>
        <v>1.5460995344522514E-4</v>
      </c>
      <c r="BP120" s="8">
        <f t="shared" si="122"/>
        <v>-8.7495187764672939E-5</v>
      </c>
      <c r="BQ120" s="8">
        <f t="shared" si="122"/>
        <v>-3.5713647970571955E-5</v>
      </c>
      <c r="BR120" s="8">
        <f t="shared" si="122"/>
        <v>1.885369532428356E-4</v>
      </c>
      <c r="BS120" s="8">
        <f t="shared" si="122"/>
        <v>-3.7358737274680113E-5</v>
      </c>
      <c r="BT120" s="8">
        <f t="shared" si="122"/>
        <v>3.7536128523704064E-5</v>
      </c>
      <c r="BU120" s="8">
        <f t="shared" si="122"/>
        <v>5.6212407952181981E-5</v>
      </c>
      <c r="BV120" s="8">
        <f t="shared" si="122"/>
        <v>3.7121591773855266E-5</v>
      </c>
      <c r="BW120" s="8">
        <f t="shared" si="122"/>
        <v>-1.8205319594385481E-5</v>
      </c>
      <c r="BX120" s="8">
        <f t="shared" si="122"/>
        <v>-6.2249704313904514E-5</v>
      </c>
      <c r="BY120" s="8">
        <f t="shared" si="122"/>
        <v>1.3209167162010435E-4</v>
      </c>
      <c r="BZ120" s="8">
        <f t="shared" si="122"/>
        <v>-7.5987841945288759E-5</v>
      </c>
      <c r="CA120" s="8">
        <f t="shared" si="122"/>
        <v>2.8061510831743182E-5</v>
      </c>
      <c r="CB120" s="8">
        <f t="shared" si="122"/>
        <v>6.6137566137566142E-5</v>
      </c>
      <c r="CC120" s="8">
        <f t="shared" si="122"/>
        <v>0</v>
      </c>
      <c r="CD120" s="8">
        <f t="shared" si="122"/>
        <v>-7.0484581497797354E-5</v>
      </c>
      <c r="CE120" s="8">
        <f t="shared" si="122"/>
        <v>1.5296952082297603E-4</v>
      </c>
      <c r="CF120" s="8">
        <f t="shared" si="122"/>
        <v>0</v>
      </c>
      <c r="CG120" s="8">
        <f t="shared" si="122"/>
        <v>9.2306272211196746E-5</v>
      </c>
      <c r="CH120" s="8">
        <f t="shared" si="122"/>
        <v>0</v>
      </c>
      <c r="CI120" s="8">
        <f t="shared" si="122"/>
        <v>-5.5205918074417579E-5</v>
      </c>
      <c r="CJ120" s="8">
        <f t="shared" si="122"/>
        <v>2.3904858662523158E-4</v>
      </c>
      <c r="CK120" s="8">
        <f t="shared" si="122"/>
        <v>-1.2305420537746877E-4</v>
      </c>
      <c r="CL120" s="8">
        <f t="shared" si="122"/>
        <v>-6.8465014377653015E-5</v>
      </c>
      <c r="CM120" s="8">
        <f t="shared" si="122"/>
        <v>5.2982137450802299E-4</v>
      </c>
      <c r="CN120" s="8">
        <f t="shared" si="122"/>
        <v>-3.6307524734501223E-4</v>
      </c>
      <c r="CO120" s="8">
        <f t="shared" si="122"/>
        <v>-1.0380982040901069E-4</v>
      </c>
      <c r="CP120" s="8">
        <f t="shared" si="122"/>
        <v>6.1927173643794894E-4</v>
      </c>
      <c r="CQ120" s="8">
        <f t="shared" si="122"/>
        <v>-4.351610095735422E-4</v>
      </c>
      <c r="CR120" s="8">
        <f t="shared" si="122"/>
        <v>1.8083182640144665E-4</v>
      </c>
      <c r="CS120" s="8">
        <f t="shared" si="122"/>
        <v>-6.7919402309259678E-4</v>
      </c>
      <c r="CT120" s="8">
        <f t="shared" si="122"/>
        <v>-1.2410797393732546E-3</v>
      </c>
      <c r="CU120" s="8">
        <f t="shared" si="122"/>
        <v>4.1000410004100039E-4</v>
      </c>
      <c r="CV120" s="8">
        <f t="shared" si="122"/>
        <v>-5.6947608200455578E-4</v>
      </c>
      <c r="CW120" s="8">
        <f t="shared" si="122"/>
        <v>8.090614886731392E-4</v>
      </c>
      <c r="CX120" s="8">
        <f t="shared" si="122"/>
        <v>-4.3668122270742356E-3</v>
      </c>
      <c r="CY120" s="8">
        <f t="shared" si="122"/>
        <v>0</v>
      </c>
    </row>
    <row r="121" spans="1:104" x14ac:dyDescent="0.3">
      <c r="A121" s="10">
        <v>2020</v>
      </c>
      <c r="B121" s="8"/>
      <c r="C121" s="8">
        <f t="shared" ref="C121:AH121" si="123">C96/C22</f>
        <v>1.0578729458113703E-3</v>
      </c>
      <c r="D121" s="8">
        <f t="shared" si="123"/>
        <v>5.3559951438977361E-4</v>
      </c>
      <c r="E121" s="8">
        <f t="shared" si="123"/>
        <v>6.7379623710716815E-4</v>
      </c>
      <c r="F121" s="8">
        <f t="shared" si="123"/>
        <v>-1.4870625557648459E-4</v>
      </c>
      <c r="G121" s="8">
        <f t="shared" si="123"/>
        <v>-4.9325068644053862E-4</v>
      </c>
      <c r="H121" s="8">
        <f t="shared" si="123"/>
        <v>0</v>
      </c>
      <c r="I121" s="8">
        <f t="shared" si="123"/>
        <v>0</v>
      </c>
      <c r="J121" s="8">
        <f t="shared" si="123"/>
        <v>-1.2648021375156123E-4</v>
      </c>
      <c r="K121" s="8">
        <f t="shared" si="123"/>
        <v>-9.3924641129600355E-5</v>
      </c>
      <c r="L121" s="8">
        <f t="shared" si="123"/>
        <v>-7.6132470498667677E-5</v>
      </c>
      <c r="M121" s="8">
        <f t="shared" si="123"/>
        <v>-1.6459673799191981E-4</v>
      </c>
      <c r="N121" s="8">
        <f t="shared" si="123"/>
        <v>-1.5171974329019435E-5</v>
      </c>
      <c r="O121" s="8">
        <f t="shared" si="123"/>
        <v>1.2440518769632695E-4</v>
      </c>
      <c r="P121" s="8">
        <f t="shared" si="123"/>
        <v>-1.0829207920792079E-4</v>
      </c>
      <c r="Q121" s="8">
        <f t="shared" si="123"/>
        <v>-6.3409530452426994E-5</v>
      </c>
      <c r="R121" s="8">
        <f t="shared" si="123"/>
        <v>-7.8854403229876356E-5</v>
      </c>
      <c r="S121" s="8">
        <f t="shared" si="123"/>
        <v>3.1734949700104728E-4</v>
      </c>
      <c r="T121" s="8">
        <f t="shared" si="123"/>
        <v>1.8371984335465988E-3</v>
      </c>
      <c r="U121" s="8">
        <f t="shared" si="123"/>
        <v>5.0348506065421594E-4</v>
      </c>
      <c r="V121" s="8">
        <f t="shared" si="123"/>
        <v>-1.2916015859665987E-3</v>
      </c>
      <c r="W121" s="8">
        <f t="shared" si="123"/>
        <v>7.4835735560444826E-5</v>
      </c>
      <c r="X121" s="8">
        <f t="shared" si="123"/>
        <v>1.6625355178042441E-4</v>
      </c>
      <c r="Y121" s="8">
        <f t="shared" si="123"/>
        <v>2.5067460961115945E-4</v>
      </c>
      <c r="Z121" s="8">
        <f t="shared" si="123"/>
        <v>5.2895681139115643E-4</v>
      </c>
      <c r="AA121" s="8">
        <f t="shared" si="123"/>
        <v>7.5621379448106616E-4</v>
      </c>
      <c r="AB121" s="8">
        <f t="shared" si="123"/>
        <v>4.5163930955640551E-4</v>
      </c>
      <c r="AC121" s="8">
        <f t="shared" si="123"/>
        <v>3.7471376032197627E-4</v>
      </c>
      <c r="AD121" s="8">
        <f t="shared" si="123"/>
        <v>-2.4215355225808187E-4</v>
      </c>
      <c r="AE121" s="8">
        <f t="shared" si="123"/>
        <v>3.2880027356182762E-4</v>
      </c>
      <c r="AF121" s="8">
        <f t="shared" si="123"/>
        <v>3.8635895322480941E-5</v>
      </c>
      <c r="AG121" s="8">
        <f t="shared" si="123"/>
        <v>-2.7218290691344586E-4</v>
      </c>
      <c r="AH121" s="8">
        <f t="shared" si="123"/>
        <v>-4.3050590967203277E-4</v>
      </c>
      <c r="AI121" s="8">
        <f t="shared" ref="AI121:BN121" si="124">AI96/AI22</f>
        <v>-4.3208209559816364E-4</v>
      </c>
      <c r="AJ121" s="8">
        <f t="shared" si="124"/>
        <v>-4.3376890961340344E-4</v>
      </c>
      <c r="AK121" s="8">
        <f t="shared" si="124"/>
        <v>-6.8885704838531902E-5</v>
      </c>
      <c r="AL121" s="8">
        <f t="shared" si="124"/>
        <v>1.3930292814754965E-5</v>
      </c>
      <c r="AM121" s="8">
        <f t="shared" si="124"/>
        <v>-3.9195374945756399E-4</v>
      </c>
      <c r="AN121" s="8">
        <f t="shared" si="124"/>
        <v>-6.9622368274479223E-5</v>
      </c>
      <c r="AO121" s="8">
        <f t="shared" si="124"/>
        <v>9.9763418179745172E-5</v>
      </c>
      <c r="AP121" s="8">
        <f t="shared" si="124"/>
        <v>-2.8122275654545965E-5</v>
      </c>
      <c r="AQ121" s="8">
        <f t="shared" si="124"/>
        <v>-1.7135268666733304E-4</v>
      </c>
      <c r="AR121" s="8">
        <f t="shared" si="124"/>
        <v>-1.8705035971223021E-4</v>
      </c>
      <c r="AS121" s="8">
        <f t="shared" si="124"/>
        <v>-1.7733640716439085E-4</v>
      </c>
      <c r="AT121" s="8">
        <f t="shared" si="124"/>
        <v>-2.1650957694028665E-4</v>
      </c>
      <c r="AU121" s="8">
        <f t="shared" si="124"/>
        <v>3.9417188709790947E-4</v>
      </c>
      <c r="AV121" s="8">
        <f t="shared" si="124"/>
        <v>-3.1113876789047915E-4</v>
      </c>
      <c r="AW121" s="8">
        <f t="shared" si="124"/>
        <v>1.7555942686599415E-4</v>
      </c>
      <c r="AX121" s="8">
        <f t="shared" si="124"/>
        <v>-3.9256225383075333E-5</v>
      </c>
      <c r="AY121" s="8">
        <f t="shared" si="124"/>
        <v>-3.9290157815467229E-5</v>
      </c>
      <c r="AZ121" s="8">
        <f t="shared" si="124"/>
        <v>1.3262423575284147E-5</v>
      </c>
      <c r="BA121" s="8">
        <f t="shared" si="124"/>
        <v>-1.3013885816165848E-5</v>
      </c>
      <c r="BB121" s="8">
        <f t="shared" si="124"/>
        <v>5.2665534357677977E-5</v>
      </c>
      <c r="BC121" s="8">
        <f t="shared" si="124"/>
        <v>4.0629486172431537E-5</v>
      </c>
      <c r="BD121" s="8">
        <f t="shared" si="124"/>
        <v>1.0913605173048852E-4</v>
      </c>
      <c r="BE121" s="8">
        <f t="shared" si="124"/>
        <v>-2.7778549404150115E-5</v>
      </c>
      <c r="BF121" s="8">
        <f t="shared" si="124"/>
        <v>4.2497131443627558E-5</v>
      </c>
      <c r="BG121" s="8">
        <f t="shared" si="124"/>
        <v>-5.9202249685488051E-5</v>
      </c>
      <c r="BH121" s="8">
        <f t="shared" si="124"/>
        <v>6.0855938778925588E-5</v>
      </c>
      <c r="BI121" s="8">
        <f t="shared" si="124"/>
        <v>3.1022180859314411E-5</v>
      </c>
      <c r="BJ121" s="8">
        <f t="shared" si="124"/>
        <v>9.4425734160083101E-5</v>
      </c>
      <c r="BK121" s="8">
        <f t="shared" si="124"/>
        <v>1.1057578390332518E-4</v>
      </c>
      <c r="BL121" s="8">
        <f t="shared" si="124"/>
        <v>3.1984135868609167E-5</v>
      </c>
      <c r="BM121" s="8">
        <f t="shared" si="124"/>
        <v>1.1505399319537811E-4</v>
      </c>
      <c r="BN121" s="8">
        <f t="shared" si="124"/>
        <v>-1.6335865392469166E-4</v>
      </c>
      <c r="BO121" s="8">
        <f t="shared" ref="BO121:CY121" si="125">BO96/BO22</f>
        <v>5.0563786216311879E-5</v>
      </c>
      <c r="BP121" s="8">
        <f t="shared" si="125"/>
        <v>1.5586574763603616E-4</v>
      </c>
      <c r="BQ121" s="8">
        <f t="shared" si="125"/>
        <v>-1.4120803473717655E-4</v>
      </c>
      <c r="BR121" s="8">
        <f t="shared" si="125"/>
        <v>1.0826025765941322E-4</v>
      </c>
      <c r="BS121" s="8">
        <f t="shared" si="125"/>
        <v>-5.7137415484239595E-5</v>
      </c>
      <c r="BT121" s="8">
        <f t="shared" si="125"/>
        <v>5.6658293829911803E-5</v>
      </c>
      <c r="BU121" s="8">
        <f t="shared" si="125"/>
        <v>-5.7062426294366035E-5</v>
      </c>
      <c r="BV121" s="8">
        <f t="shared" si="125"/>
        <v>1.899696048632219E-5</v>
      </c>
      <c r="BW121" s="8">
        <f t="shared" si="125"/>
        <v>-3.7715212430934016E-5</v>
      </c>
      <c r="BX121" s="8">
        <f t="shared" si="125"/>
        <v>-3.7036351178681874E-5</v>
      </c>
      <c r="BY121" s="8">
        <f t="shared" si="125"/>
        <v>-8.4731401457380101E-5</v>
      </c>
      <c r="BZ121" s="8">
        <f t="shared" si="125"/>
        <v>2.0251569496635989E-4</v>
      </c>
      <c r="CA121" s="8">
        <f t="shared" si="125"/>
        <v>-2.5939664340743431E-5</v>
      </c>
      <c r="CB121" s="8">
        <f t="shared" si="125"/>
        <v>1.4406315728815512E-4</v>
      </c>
      <c r="CC121" s="8">
        <f t="shared" si="125"/>
        <v>-1.3628155769820449E-4</v>
      </c>
      <c r="CD121" s="8">
        <f t="shared" si="125"/>
        <v>-3.4092458748124914E-5</v>
      </c>
      <c r="CE121" s="8">
        <f t="shared" si="125"/>
        <v>-2.1994941163532388E-4</v>
      </c>
      <c r="CF121" s="8">
        <f t="shared" si="125"/>
        <v>-3.9886721710342629E-5</v>
      </c>
      <c r="CG121" s="8">
        <f t="shared" si="125"/>
        <v>1.7671747294013696E-4</v>
      </c>
      <c r="CH121" s="8">
        <f t="shared" si="125"/>
        <v>-1.9527436047646945E-4</v>
      </c>
      <c r="CI121" s="8">
        <f t="shared" si="125"/>
        <v>0</v>
      </c>
      <c r="CJ121" s="8">
        <f t="shared" si="125"/>
        <v>5.9491938842286869E-5</v>
      </c>
      <c r="CK121" s="8">
        <f t="shared" si="125"/>
        <v>-6.4943499155734505E-5</v>
      </c>
      <c r="CL121" s="8">
        <f t="shared" si="125"/>
        <v>0</v>
      </c>
      <c r="CM121" s="8">
        <f t="shared" si="125"/>
        <v>-7.64525993883792E-5</v>
      </c>
      <c r="CN121" s="8">
        <f t="shared" si="125"/>
        <v>-1.7096939647803043E-4</v>
      </c>
      <c r="CO121" s="8">
        <f t="shared" si="125"/>
        <v>3.1292375091269427E-4</v>
      </c>
      <c r="CP121" s="8">
        <f t="shared" si="125"/>
        <v>-8.5784313725490195E-4</v>
      </c>
      <c r="CQ121" s="8">
        <f t="shared" si="125"/>
        <v>1.4932059130954157E-4</v>
      </c>
      <c r="CR121" s="8">
        <f t="shared" si="125"/>
        <v>8.8699662941280825E-4</v>
      </c>
      <c r="CS121" s="8">
        <f t="shared" si="125"/>
        <v>-4.5777065690089265E-4</v>
      </c>
      <c r="CT121" s="8">
        <f t="shared" si="125"/>
        <v>-2.9112081513828241E-4</v>
      </c>
      <c r="CU121" s="8">
        <f t="shared" si="125"/>
        <v>-1.2320328542094457E-3</v>
      </c>
      <c r="CV121" s="8">
        <f t="shared" si="125"/>
        <v>1.1540680900173109E-3</v>
      </c>
      <c r="CW121" s="8">
        <f t="shared" si="125"/>
        <v>-2.4813895781637717E-3</v>
      </c>
      <c r="CX121" s="8">
        <f t="shared" si="125"/>
        <v>-1.1778563015312131E-3</v>
      </c>
      <c r="CY121" s="8">
        <f t="shared" si="125"/>
        <v>2.2471910112359553E-3</v>
      </c>
    </row>
    <row r="122" spans="1:104" x14ac:dyDescent="0.3">
      <c r="A122" s="10">
        <v>2021</v>
      </c>
      <c r="B122" s="8"/>
      <c r="C122" s="8">
        <f t="shared" ref="C122:AH122" si="126">C97/C23</f>
        <v>-1.9384951255316746E-3</v>
      </c>
      <c r="D122" s="8">
        <f t="shared" si="126"/>
        <v>-3.6215482118605704E-4</v>
      </c>
      <c r="E122" s="8">
        <f t="shared" si="126"/>
        <v>-1.9593174450500516E-4</v>
      </c>
      <c r="F122" s="8">
        <f t="shared" si="126"/>
        <v>-1.7261319110006387E-5</v>
      </c>
      <c r="G122" s="8">
        <f t="shared" si="126"/>
        <v>-2.4782737996893896E-4</v>
      </c>
      <c r="H122" s="8">
        <f t="shared" si="126"/>
        <v>-2.3024800999934216E-4</v>
      </c>
      <c r="I122" s="8">
        <f t="shared" si="126"/>
        <v>-8.1918867553574943E-5</v>
      </c>
      <c r="J122" s="8">
        <f t="shared" si="126"/>
        <v>1.3019350008950804E-4</v>
      </c>
      <c r="K122" s="8">
        <f t="shared" si="126"/>
        <v>-3.4745254114153956E-4</v>
      </c>
      <c r="L122" s="8">
        <f t="shared" si="126"/>
        <v>1.7196098049024512E-4</v>
      </c>
      <c r="M122" s="8">
        <f t="shared" si="126"/>
        <v>-6.0837427185204339E-5</v>
      </c>
      <c r="N122" s="8">
        <f t="shared" si="126"/>
        <v>-1.6434344792553749E-4</v>
      </c>
      <c r="O122" s="8">
        <f t="shared" si="126"/>
        <v>1.512355948095944E-4</v>
      </c>
      <c r="P122" s="8">
        <f t="shared" si="126"/>
        <v>-6.2052061679749315E-5</v>
      </c>
      <c r="Q122" s="8">
        <f t="shared" si="126"/>
        <v>-1.08038029386344E-4</v>
      </c>
      <c r="R122" s="8">
        <f t="shared" si="126"/>
        <v>2.5294043252813961E-4</v>
      </c>
      <c r="S122" s="8">
        <f t="shared" si="126"/>
        <v>-1.8866144703329874E-4</v>
      </c>
      <c r="T122" s="8">
        <f t="shared" si="126"/>
        <v>2.5776048832171039E-3</v>
      </c>
      <c r="U122" s="8">
        <f t="shared" si="126"/>
        <v>6.4157056474248959E-4</v>
      </c>
      <c r="V122" s="8">
        <f t="shared" si="126"/>
        <v>4.2350948190673378E-4</v>
      </c>
      <c r="W122" s="8">
        <f t="shared" si="126"/>
        <v>1.3520822065981613E-4</v>
      </c>
      <c r="X122" s="8">
        <f t="shared" si="126"/>
        <v>-2.6592566033225768E-3</v>
      </c>
      <c r="Y122" s="8">
        <f t="shared" si="126"/>
        <v>3.0138637733574441E-4</v>
      </c>
      <c r="Z122" s="8">
        <f t="shared" si="126"/>
        <v>7.4851397959932486E-4</v>
      </c>
      <c r="AA122" s="8">
        <f t="shared" si="126"/>
        <v>2.1298952091557095E-4</v>
      </c>
      <c r="AB122" s="8">
        <f t="shared" si="126"/>
        <v>1.3422249851648817E-3</v>
      </c>
      <c r="AC122" s="8">
        <f t="shared" si="126"/>
        <v>-8.37088605828927E-5</v>
      </c>
      <c r="AD122" s="8">
        <f t="shared" si="126"/>
        <v>3.8423537161049511E-4</v>
      </c>
      <c r="AE122" s="8">
        <f t="shared" si="126"/>
        <v>2.0018951273872599E-4</v>
      </c>
      <c r="AF122" s="8">
        <f t="shared" si="126"/>
        <v>3.2624298577580584E-4</v>
      </c>
      <c r="AG122" s="8">
        <f t="shared" si="126"/>
        <v>-2.0488129689860937E-4</v>
      </c>
      <c r="AH122" s="8">
        <f t="shared" si="126"/>
        <v>1.0333247222939809E-4</v>
      </c>
      <c r="AI122" s="8">
        <f t="shared" ref="AI122:BN122" si="127">AI97/AI23</f>
        <v>-8.5697591378302933E-4</v>
      </c>
      <c r="AJ122" s="8">
        <f t="shared" si="127"/>
        <v>-5.1162602830099766E-4</v>
      </c>
      <c r="AK122" s="8">
        <f t="shared" si="127"/>
        <v>2.8365728796617726E-4</v>
      </c>
      <c r="AL122" s="8">
        <f t="shared" si="127"/>
        <v>-2.0612606670239518E-4</v>
      </c>
      <c r="AM122" s="8">
        <f t="shared" si="127"/>
        <v>1.3923310406282197E-4</v>
      </c>
      <c r="AN122" s="8">
        <f t="shared" si="127"/>
        <v>-4.7539814594723079E-4</v>
      </c>
      <c r="AO122" s="8">
        <f t="shared" si="127"/>
        <v>2.7829958950810548E-5</v>
      </c>
      <c r="AP122" s="8">
        <f t="shared" si="127"/>
        <v>4.1244737740357267E-4</v>
      </c>
      <c r="AQ122" s="8">
        <f t="shared" si="127"/>
        <v>-6.4624894633323973E-4</v>
      </c>
      <c r="AR122" s="8">
        <f t="shared" si="127"/>
        <v>-7.1349068181169556E-5</v>
      </c>
      <c r="AS122" s="8">
        <f t="shared" si="127"/>
        <v>-4.3140638481449527E-4</v>
      </c>
      <c r="AT122" s="8">
        <f t="shared" si="127"/>
        <v>2.0666952067433311E-4</v>
      </c>
      <c r="AU122" s="8">
        <f t="shared" si="127"/>
        <v>1.4440433212996391E-5</v>
      </c>
      <c r="AV122" s="8">
        <f t="shared" si="127"/>
        <v>1.124558962032078E-4</v>
      </c>
      <c r="AW122" s="8">
        <f t="shared" si="127"/>
        <v>-9.4629121436199697E-5</v>
      </c>
      <c r="AX122" s="8">
        <f t="shared" si="127"/>
        <v>-1.7553335133675398E-4</v>
      </c>
      <c r="AY122" s="8">
        <f t="shared" si="127"/>
        <v>-1.178627553693033E-4</v>
      </c>
      <c r="AZ122" s="8">
        <f t="shared" si="127"/>
        <v>9.1779205454307067E-5</v>
      </c>
      <c r="BA122" s="8">
        <f t="shared" si="127"/>
        <v>-3.1847133757961782E-4</v>
      </c>
      <c r="BB122" s="8">
        <f t="shared" si="127"/>
        <v>1.6937448699073652E-4</v>
      </c>
      <c r="BC122" s="8">
        <f t="shared" si="127"/>
        <v>7.9106622542750543E-5</v>
      </c>
      <c r="BD122" s="8">
        <f t="shared" si="127"/>
        <v>8.1391247727827666E-5</v>
      </c>
      <c r="BE122" s="8">
        <f t="shared" si="127"/>
        <v>1.0935086592216953E-4</v>
      </c>
      <c r="BF122" s="8">
        <f t="shared" si="127"/>
        <v>-1.1133532809129497E-4</v>
      </c>
      <c r="BG122" s="8">
        <f t="shared" si="127"/>
        <v>8.5249069364326101E-5</v>
      </c>
      <c r="BH122" s="8">
        <f t="shared" si="127"/>
        <v>-1.4843402107763098E-4</v>
      </c>
      <c r="BI122" s="8">
        <f t="shared" si="127"/>
        <v>6.1054720293062651E-5</v>
      </c>
      <c r="BJ122" s="8">
        <f t="shared" si="127"/>
        <v>-1.5575353560525823E-5</v>
      </c>
      <c r="BK122" s="8">
        <f t="shared" si="127"/>
        <v>-3.1615554852987667E-5</v>
      </c>
      <c r="BL122" s="8">
        <f t="shared" si="127"/>
        <v>-1.1107761151398785E-4</v>
      </c>
      <c r="BM122" s="8">
        <f t="shared" si="127"/>
        <v>9.6511122906915017E-5</v>
      </c>
      <c r="BN122" s="8">
        <f t="shared" si="127"/>
        <v>1.3238019592268997E-4</v>
      </c>
      <c r="BO122" s="8">
        <f t="shared" ref="BO122:CY122" si="128">BO97/BO23</f>
        <v>4.936483907062463E-5</v>
      </c>
      <c r="BP122" s="8">
        <f t="shared" si="128"/>
        <v>1.1896466749375436E-4</v>
      </c>
      <c r="BQ122" s="8">
        <f t="shared" si="128"/>
        <v>-1.7469079728879883E-4</v>
      </c>
      <c r="BR122" s="8">
        <f t="shared" si="128"/>
        <v>1.4271952046241123E-4</v>
      </c>
      <c r="BS122" s="8">
        <f t="shared" si="128"/>
        <v>-1.2760915139914319E-4</v>
      </c>
      <c r="BT122" s="8">
        <f t="shared" si="128"/>
        <v>2.6988992346692884E-4</v>
      </c>
      <c r="BU122" s="8">
        <f t="shared" si="128"/>
        <v>-5.7315349050475721E-5</v>
      </c>
      <c r="BV122" s="8">
        <f t="shared" si="128"/>
        <v>-1.1584129742253113E-4</v>
      </c>
      <c r="BW122" s="8">
        <f t="shared" si="128"/>
        <v>1.92823123348952E-5</v>
      </c>
      <c r="BX122" s="8">
        <f t="shared" si="128"/>
        <v>5.7557269483135722E-5</v>
      </c>
      <c r="BY122" s="8">
        <f t="shared" si="128"/>
        <v>1.5091776868079006E-4</v>
      </c>
      <c r="BZ122" s="8">
        <f t="shared" si="128"/>
        <v>-8.6626962642122367E-5</v>
      </c>
      <c r="CA122" s="8">
        <f t="shared" si="128"/>
        <v>-1.3805163131010999E-4</v>
      </c>
      <c r="CB122" s="8">
        <f t="shared" si="128"/>
        <v>2.3932351220549912E-4</v>
      </c>
      <c r="CC122" s="8">
        <f t="shared" si="128"/>
        <v>-1.1862396204033214E-4</v>
      </c>
      <c r="CD122" s="8">
        <f t="shared" si="128"/>
        <v>-7.0482097547223005E-5</v>
      </c>
      <c r="CE122" s="8">
        <f t="shared" si="128"/>
        <v>-1.4157287463721952E-4</v>
      </c>
      <c r="CF122" s="8">
        <f t="shared" si="128"/>
        <v>-7.6511094108645749E-5</v>
      </c>
      <c r="CG122" s="8">
        <f t="shared" si="128"/>
        <v>0</v>
      </c>
      <c r="CH122" s="8">
        <f t="shared" si="128"/>
        <v>-9.3457943925233641E-5</v>
      </c>
      <c r="CI122" s="8">
        <f t="shared" si="128"/>
        <v>1.0400416016640666E-4</v>
      </c>
      <c r="CJ122" s="8">
        <f t="shared" si="128"/>
        <v>1.1820330969267139E-4</v>
      </c>
      <c r="CK122" s="8">
        <f t="shared" si="128"/>
        <v>-2.5811447376911659E-4</v>
      </c>
      <c r="CL122" s="8">
        <f t="shared" si="128"/>
        <v>-2.1312872975277067E-4</v>
      </c>
      <c r="CM122" s="8">
        <f t="shared" si="128"/>
        <v>1.498576352465158E-4</v>
      </c>
      <c r="CN122" s="8">
        <f t="shared" si="128"/>
        <v>-1.7356591165495098E-4</v>
      </c>
      <c r="CO122" s="8">
        <f t="shared" si="128"/>
        <v>9.8892405063291138E-5</v>
      </c>
      <c r="CP122" s="8">
        <f t="shared" si="128"/>
        <v>-1.221597849987784E-4</v>
      </c>
      <c r="CQ122" s="8">
        <f t="shared" si="128"/>
        <v>0</v>
      </c>
      <c r="CR122" s="8">
        <f t="shared" si="128"/>
        <v>0</v>
      </c>
      <c r="CS122" s="8">
        <f t="shared" si="128"/>
        <v>2.2537750732476899E-4</v>
      </c>
      <c r="CT122" s="8">
        <f t="shared" si="128"/>
        <v>-5.8823529411764701E-4</v>
      </c>
      <c r="CU122" s="8">
        <f t="shared" si="128"/>
        <v>-7.6775431861804226E-4</v>
      </c>
      <c r="CV122" s="8">
        <f t="shared" si="128"/>
        <v>0</v>
      </c>
      <c r="CW122" s="8">
        <f t="shared" si="128"/>
        <v>0</v>
      </c>
      <c r="CX122" s="8">
        <f t="shared" si="128"/>
        <v>0</v>
      </c>
      <c r="CY122" s="8">
        <f t="shared" si="128"/>
        <v>1.8115942028985507E-3</v>
      </c>
    </row>
    <row r="123" spans="1:104" x14ac:dyDescent="0.3">
      <c r="A123" s="10">
        <v>2022</v>
      </c>
      <c r="B123" s="8"/>
      <c r="C123" s="8">
        <f t="shared" ref="C123:AH123" si="129">C98/C24</f>
        <v>2.4797194374579331E-4</v>
      </c>
      <c r="D123" s="8">
        <f t="shared" si="129"/>
        <v>4.8440585758467789E-4</v>
      </c>
      <c r="E123" s="8">
        <f t="shared" si="129"/>
        <v>3.6003600360036005E-5</v>
      </c>
      <c r="F123" s="8">
        <f t="shared" si="129"/>
        <v>1.9540617838807668E-4</v>
      </c>
      <c r="G123" s="8">
        <f t="shared" si="129"/>
        <v>-3.0999741668819426E-4</v>
      </c>
      <c r="H123" s="8">
        <f t="shared" si="129"/>
        <v>-6.5948922559477691E-5</v>
      </c>
      <c r="I123" s="8">
        <f t="shared" si="129"/>
        <v>-8.224090004441008E-5</v>
      </c>
      <c r="J123" s="8">
        <f t="shared" si="129"/>
        <v>-6.5368021963655383E-5</v>
      </c>
      <c r="K123" s="8">
        <f t="shared" si="129"/>
        <v>-1.6248801650878248E-4</v>
      </c>
      <c r="L123" s="8">
        <f t="shared" si="129"/>
        <v>-7.8753799870843764E-5</v>
      </c>
      <c r="M123" s="8">
        <f t="shared" si="129"/>
        <v>-3.1187624750498999E-5</v>
      </c>
      <c r="N123" s="8">
        <f t="shared" si="129"/>
        <v>-1.6672224074691563E-4</v>
      </c>
      <c r="O123" s="8">
        <f t="shared" si="129"/>
        <v>-2.9803150192975396E-5</v>
      </c>
      <c r="P123" s="8">
        <f t="shared" si="129"/>
        <v>4.5200464058097661E-5</v>
      </c>
      <c r="Q123" s="8">
        <f t="shared" si="129"/>
        <v>1.2366862990616643E-4</v>
      </c>
      <c r="R123" s="8">
        <f t="shared" si="129"/>
        <v>-1.3828283449081186E-4</v>
      </c>
      <c r="S123" s="8">
        <f t="shared" si="129"/>
        <v>-2.2023313250169109E-4</v>
      </c>
      <c r="T123" s="8">
        <f t="shared" si="129"/>
        <v>2.3480425152231423E-4</v>
      </c>
      <c r="U123" s="8">
        <f t="shared" si="129"/>
        <v>2.0434789443073392E-4</v>
      </c>
      <c r="V123" s="8">
        <f t="shared" si="129"/>
        <v>1.5975972137904591E-5</v>
      </c>
      <c r="W123" s="8">
        <f t="shared" si="129"/>
        <v>-1.0929473667775228E-4</v>
      </c>
      <c r="X123" s="8">
        <f t="shared" si="129"/>
        <v>-8.9529522359998209E-5</v>
      </c>
      <c r="Y123" s="8">
        <f t="shared" si="129"/>
        <v>-2.9703999643552004E-5</v>
      </c>
      <c r="Z123" s="8">
        <f t="shared" si="129"/>
        <v>1.6377089940000297E-4</v>
      </c>
      <c r="AA123" s="8">
        <f t="shared" si="129"/>
        <v>2.8840053065697639E-4</v>
      </c>
      <c r="AB123" s="8">
        <f t="shared" si="129"/>
        <v>-2.7855541163525955E-5</v>
      </c>
      <c r="AC123" s="8">
        <f t="shared" si="129"/>
        <v>4.1552973115226394E-4</v>
      </c>
      <c r="AD123" s="8">
        <f t="shared" si="129"/>
        <v>-1.7865732151446436E-4</v>
      </c>
      <c r="AE123" s="8">
        <f t="shared" si="129"/>
        <v>-3.2430679422733907E-4</v>
      </c>
      <c r="AF123" s="8">
        <f t="shared" si="129"/>
        <v>4.4791062865574116E-4</v>
      </c>
      <c r="AG123" s="8">
        <f t="shared" si="129"/>
        <v>-3.1002144314981785E-4</v>
      </c>
      <c r="AH123" s="8">
        <f t="shared" si="129"/>
        <v>-1.1425814724066575E-4</v>
      </c>
      <c r="AI123" s="8">
        <f t="shared" ref="AI123:BN123" si="130">AI98/AI24</f>
        <v>-2.3102098440608355E-4</v>
      </c>
      <c r="AJ123" s="8">
        <f t="shared" si="130"/>
        <v>-3.7438678027368967E-4</v>
      </c>
      <c r="AK123" s="8">
        <f t="shared" si="130"/>
        <v>-4.0199927640130251E-5</v>
      </c>
      <c r="AL123" s="8">
        <f t="shared" si="130"/>
        <v>5.3871328332278351E-5</v>
      </c>
      <c r="AM123" s="8">
        <f t="shared" si="130"/>
        <v>-3.1479251067557208E-4</v>
      </c>
      <c r="AN123" s="8">
        <f t="shared" si="130"/>
        <v>6.9463739927757705E-5</v>
      </c>
      <c r="AO123" s="8">
        <f t="shared" si="130"/>
        <v>2.7915416288645404E-5</v>
      </c>
      <c r="AP123" s="8">
        <f t="shared" si="130"/>
        <v>-1.3889467616706252E-5</v>
      </c>
      <c r="AQ123" s="8">
        <f t="shared" si="130"/>
        <v>-2.6982120794694461E-4</v>
      </c>
      <c r="AR123" s="8">
        <f t="shared" si="130"/>
        <v>7.0137047791384371E-5</v>
      </c>
      <c r="AS123" s="8">
        <f t="shared" si="130"/>
        <v>-1.1408525020321435E-4</v>
      </c>
      <c r="AT123" s="8">
        <f t="shared" si="130"/>
        <v>-2.0099348206851006E-4</v>
      </c>
      <c r="AU123" s="8">
        <f t="shared" si="130"/>
        <v>2.9488521592969936E-5</v>
      </c>
      <c r="AV123" s="8">
        <f t="shared" si="130"/>
        <v>7.2156319450457465E-5</v>
      </c>
      <c r="AW123" s="8">
        <f t="shared" si="130"/>
        <v>1.2633884077094769E-4</v>
      </c>
      <c r="AX123" s="8">
        <f t="shared" si="130"/>
        <v>-1.4861651534803284E-4</v>
      </c>
      <c r="AY123" s="8">
        <f t="shared" si="130"/>
        <v>6.7558438048912308E-5</v>
      </c>
      <c r="AZ123" s="8">
        <f t="shared" si="130"/>
        <v>-5.2376587665313603E-5</v>
      </c>
      <c r="BA123" s="8">
        <f t="shared" si="130"/>
        <v>-1.572533088717075E-4</v>
      </c>
      <c r="BB123" s="8">
        <f t="shared" si="130"/>
        <v>1.3272809322821269E-5</v>
      </c>
      <c r="BC123" s="8">
        <f t="shared" si="130"/>
        <v>-6.5222212076544782E-5</v>
      </c>
      <c r="BD123" s="8">
        <f t="shared" si="130"/>
        <v>-7.9147319544111433E-5</v>
      </c>
      <c r="BE123" s="8">
        <f t="shared" si="130"/>
        <v>3.1244481273688072E-4</v>
      </c>
      <c r="BF123" s="8">
        <f t="shared" si="130"/>
        <v>-1.7819936396534707E-4</v>
      </c>
      <c r="BG123" s="8">
        <f t="shared" si="130"/>
        <v>0</v>
      </c>
      <c r="BH123" s="8">
        <f t="shared" si="130"/>
        <v>2.8510334996436207E-5</v>
      </c>
      <c r="BI123" s="8">
        <f t="shared" si="130"/>
        <v>1.3408420488066506E-4</v>
      </c>
      <c r="BJ123" s="8">
        <f t="shared" si="130"/>
        <v>-6.1276387144213972E-5</v>
      </c>
      <c r="BK123" s="8">
        <f t="shared" si="130"/>
        <v>-3.1273455091318488E-5</v>
      </c>
      <c r="BL123" s="8">
        <f t="shared" si="130"/>
        <v>1.5884361845762845E-5</v>
      </c>
      <c r="BM123" s="8">
        <f t="shared" si="130"/>
        <v>4.7886604520495465E-5</v>
      </c>
      <c r="BN123" s="8">
        <f t="shared" si="130"/>
        <v>-1.2957773854451805E-4</v>
      </c>
      <c r="BO123" s="8">
        <f t="shared" ref="BO123:CY123" si="131">BO98/BO24</f>
        <v>1.6674726117623517E-5</v>
      </c>
      <c r="BP123" s="8">
        <f t="shared" si="131"/>
        <v>6.6410984376815923E-5</v>
      </c>
      <c r="BQ123" s="8">
        <f t="shared" si="131"/>
        <v>-5.1475634866163348E-5</v>
      </c>
      <c r="BR123" s="8">
        <f t="shared" si="131"/>
        <v>-5.2966101694915253E-5</v>
      </c>
      <c r="BS123" s="8">
        <f t="shared" si="131"/>
        <v>1.8028087760731219E-5</v>
      </c>
      <c r="BT123" s="8">
        <f t="shared" si="131"/>
        <v>-1.8438957830103442E-4</v>
      </c>
      <c r="BU123" s="8">
        <f t="shared" si="131"/>
        <v>1.3655072859567328E-4</v>
      </c>
      <c r="BV123" s="8">
        <f t="shared" si="131"/>
        <v>-9.6871064613000092E-5</v>
      </c>
      <c r="BW123" s="8">
        <f t="shared" si="131"/>
        <v>-1.9613996547936609E-5</v>
      </c>
      <c r="BX123" s="8">
        <f t="shared" si="131"/>
        <v>-3.9264959949740854E-5</v>
      </c>
      <c r="BY123" s="8">
        <f t="shared" si="131"/>
        <v>-5.8630393996247655E-5</v>
      </c>
      <c r="BZ123" s="8">
        <f t="shared" si="131"/>
        <v>-1.9273021624330263E-5</v>
      </c>
      <c r="CA123" s="8">
        <f t="shared" si="131"/>
        <v>-4.4353765634702387E-5</v>
      </c>
      <c r="CB123" s="8">
        <f t="shared" si="131"/>
        <v>0</v>
      </c>
      <c r="CC123" s="8">
        <f t="shared" si="131"/>
        <v>0</v>
      </c>
      <c r="CD123" s="8">
        <f t="shared" si="131"/>
        <v>-3.0672964848782285E-5</v>
      </c>
      <c r="CE123" s="8">
        <f t="shared" si="131"/>
        <v>3.6512341171315902E-5</v>
      </c>
      <c r="CF123" s="8">
        <f t="shared" si="131"/>
        <v>0</v>
      </c>
      <c r="CG123" s="8">
        <f t="shared" si="131"/>
        <v>-4.0210704089428609E-5</v>
      </c>
      <c r="CH123" s="8">
        <f t="shared" si="131"/>
        <v>-2.6509963327884064E-4</v>
      </c>
      <c r="CI123" s="8">
        <f t="shared" si="131"/>
        <v>1.99860097931448E-4</v>
      </c>
      <c r="CJ123" s="8">
        <f t="shared" si="131"/>
        <v>-3.3498967115180617E-4</v>
      </c>
      <c r="CK123" s="8">
        <f t="shared" si="131"/>
        <v>-1.9276489108783655E-4</v>
      </c>
      <c r="CL123" s="8">
        <f t="shared" si="131"/>
        <v>7.1448985424406975E-5</v>
      </c>
      <c r="CM123" s="8">
        <f t="shared" si="131"/>
        <v>-3.1852205765249244E-4</v>
      </c>
      <c r="CN123" s="8">
        <f t="shared" si="131"/>
        <v>8.5222430543719103E-5</v>
      </c>
      <c r="CO123" s="8">
        <f t="shared" si="131"/>
        <v>-1.0026067776218167E-4</v>
      </c>
      <c r="CP123" s="8">
        <f t="shared" si="131"/>
        <v>-3.4646033029218156E-4</v>
      </c>
      <c r="CQ123" s="8">
        <f t="shared" si="131"/>
        <v>-1.4628437682855471E-4</v>
      </c>
      <c r="CR123" s="8">
        <f t="shared" si="131"/>
        <v>-9.0171325518485117E-4</v>
      </c>
      <c r="CS123" s="8">
        <f t="shared" si="131"/>
        <v>0</v>
      </c>
      <c r="CT123" s="8">
        <f t="shared" si="131"/>
        <v>8.658008658008658E-4</v>
      </c>
      <c r="CU123" s="8">
        <f t="shared" si="131"/>
        <v>-1.9447685725398677E-3</v>
      </c>
      <c r="CV123" s="8">
        <f t="shared" si="131"/>
        <v>0</v>
      </c>
      <c r="CW123" s="8">
        <f t="shared" si="131"/>
        <v>0</v>
      </c>
      <c r="CX123" s="8">
        <f t="shared" si="131"/>
        <v>0</v>
      </c>
      <c r="CY123" s="8">
        <f t="shared" si="131"/>
        <v>0</v>
      </c>
    </row>
    <row r="124" spans="1:104" x14ac:dyDescent="0.3">
      <c r="B124" t="s">
        <v>22</v>
      </c>
      <c r="C124" s="12">
        <f t="shared" ref="C124" si="132">AVERAGE(C104:C123)</f>
        <v>-7.1414571080311831E-4</v>
      </c>
      <c r="D124" s="12">
        <f t="shared" ref="D124:BO124" si="133">AVERAGE(D104:D123)</f>
        <v>1.0160789837207527E-5</v>
      </c>
      <c r="E124" s="12">
        <f t="shared" si="133"/>
        <v>5.345313873197549E-5</v>
      </c>
      <c r="F124" s="12">
        <f t="shared" si="133"/>
        <v>-4.8857552819283809E-5</v>
      </c>
      <c r="G124" s="12">
        <f t="shared" si="133"/>
        <v>-1.15634205741273E-4</v>
      </c>
      <c r="H124" s="12">
        <f t="shared" si="133"/>
        <v>-4.307696734186446E-5</v>
      </c>
      <c r="I124" s="12">
        <f t="shared" si="133"/>
        <v>-1.4741238701956589E-5</v>
      </c>
      <c r="J124" s="12">
        <f t="shared" si="133"/>
        <v>-7.3794188619406774E-5</v>
      </c>
      <c r="K124" s="12">
        <f t="shared" si="133"/>
        <v>-3.4084535070948663E-5</v>
      </c>
      <c r="L124" s="12">
        <f t="shared" si="133"/>
        <v>-1.6687536587763082E-5</v>
      </c>
      <c r="M124" s="12">
        <f t="shared" si="133"/>
        <v>-2.1787294684492062E-5</v>
      </c>
      <c r="N124" s="12">
        <f t="shared" si="133"/>
        <v>-2.5419810066743398E-5</v>
      </c>
      <c r="O124" s="12">
        <f t="shared" si="133"/>
        <v>1.2648632614637383E-5</v>
      </c>
      <c r="P124" s="12">
        <f t="shared" si="133"/>
        <v>-1.2117789352234987E-6</v>
      </c>
      <c r="Q124" s="12">
        <f t="shared" si="133"/>
        <v>-5.8326937853824532E-5</v>
      </c>
      <c r="R124" s="12">
        <f t="shared" si="133"/>
        <v>3.7512816292734961E-5</v>
      </c>
      <c r="S124" s="12">
        <f t="shared" si="133"/>
        <v>1.2196978925067622E-4</v>
      </c>
      <c r="T124" s="12">
        <f t="shared" si="133"/>
        <v>4.596116794517619E-4</v>
      </c>
      <c r="U124" s="12">
        <f t="shared" si="133"/>
        <v>2.6855209963245607E-4</v>
      </c>
      <c r="V124" s="12">
        <f t="shared" si="133"/>
        <v>9.5679808736545536E-5</v>
      </c>
      <c r="W124" s="12">
        <f t="shared" si="133"/>
        <v>3.7582950045590409E-4</v>
      </c>
      <c r="X124" s="12">
        <f t="shared" si="133"/>
        <v>1.9803402409336568E-4</v>
      </c>
      <c r="Y124" s="12">
        <f t="shared" si="133"/>
        <v>2.8257478500552148E-4</v>
      </c>
      <c r="Z124" s="12">
        <f t="shared" si="133"/>
        <v>3.0330138944445581E-4</v>
      </c>
      <c r="AA124" s="12">
        <f t="shared" si="133"/>
        <v>2.5577755289831161E-4</v>
      </c>
      <c r="AB124" s="12">
        <f t="shared" si="133"/>
        <v>1.5820866029973648E-4</v>
      </c>
      <c r="AC124" s="12">
        <f t="shared" si="133"/>
        <v>1.4050368436299996E-4</v>
      </c>
      <c r="AD124" s="12">
        <f t="shared" si="133"/>
        <v>9.0548251169193968E-6</v>
      </c>
      <c r="AE124" s="12">
        <f t="shared" si="133"/>
        <v>-2.298510774195768E-5</v>
      </c>
      <c r="AF124" s="12">
        <f t="shared" si="133"/>
        <v>-1.1229426179150434E-5</v>
      </c>
      <c r="AG124" s="12">
        <f t="shared" si="133"/>
        <v>-9.8658327026318016E-5</v>
      </c>
      <c r="AH124" s="12">
        <f t="shared" si="133"/>
        <v>-3.2583833624775388E-4</v>
      </c>
      <c r="AI124" s="12">
        <f t="shared" si="133"/>
        <v>-3.6328085945749303E-4</v>
      </c>
      <c r="AJ124" s="12">
        <f t="shared" si="133"/>
        <v>-5.9332966004792061E-5</v>
      </c>
      <c r="AK124" s="12">
        <f t="shared" si="133"/>
        <v>-1.1774546106241891E-4</v>
      </c>
      <c r="AL124" s="12">
        <f t="shared" si="133"/>
        <v>-1.0783369192684709E-4</v>
      </c>
      <c r="AM124" s="12">
        <f t="shared" si="133"/>
        <v>-5.9282258039876853E-5</v>
      </c>
      <c r="AN124" s="12">
        <f t="shared" si="133"/>
        <v>-9.0906883868187624E-5</v>
      </c>
      <c r="AO124" s="12">
        <f t="shared" si="133"/>
        <v>-1.030820790785037E-4</v>
      </c>
      <c r="AP124" s="12">
        <f t="shared" si="133"/>
        <v>-3.4900147974520855E-5</v>
      </c>
      <c r="AQ124" s="12">
        <f t="shared" si="133"/>
        <v>-6.0092430103029235E-5</v>
      </c>
      <c r="AR124" s="12">
        <f t="shared" si="133"/>
        <v>-5.2798220867753584E-6</v>
      </c>
      <c r="AS124" s="12">
        <f t="shared" si="133"/>
        <v>-1.4188242498060403E-4</v>
      </c>
      <c r="AT124" s="12">
        <f t="shared" si="133"/>
        <v>-7.0525337890198073E-6</v>
      </c>
      <c r="AU124" s="12">
        <f t="shared" si="133"/>
        <v>-1.2966505974951139E-5</v>
      </c>
      <c r="AV124" s="12">
        <f t="shared" si="133"/>
        <v>-1.7689719479610864E-5</v>
      </c>
      <c r="AW124" s="12">
        <f t="shared" si="133"/>
        <v>-1.4078071325111554E-5</v>
      </c>
      <c r="AX124" s="12">
        <f t="shared" si="133"/>
        <v>1.3098745411790343E-5</v>
      </c>
      <c r="AY124" s="12">
        <f t="shared" si="133"/>
        <v>-5.8701034774406735E-5</v>
      </c>
      <c r="AZ124" s="12">
        <f t="shared" si="133"/>
        <v>-2.38725694980331E-5</v>
      </c>
      <c r="BA124" s="12">
        <f t="shared" si="133"/>
        <v>-4.9177415734430483E-5</v>
      </c>
      <c r="BB124" s="12">
        <f t="shared" si="133"/>
        <v>3.279178719477992E-5</v>
      </c>
      <c r="BC124" s="12">
        <f t="shared" si="133"/>
        <v>2.9227836583651144E-6</v>
      </c>
      <c r="BD124" s="12">
        <f t="shared" si="133"/>
        <v>-1.4690272184264409E-6</v>
      </c>
      <c r="BE124" s="12">
        <f t="shared" si="133"/>
        <v>2.5685900052942918E-5</v>
      </c>
      <c r="BF124" s="12">
        <f t="shared" si="133"/>
        <v>-1.3787632135612171E-5</v>
      </c>
      <c r="BG124" s="12">
        <f t="shared" si="133"/>
        <v>1.5696207719800806E-5</v>
      </c>
      <c r="BH124" s="12">
        <f t="shared" si="133"/>
        <v>-2.8571970378204776E-5</v>
      </c>
      <c r="BI124" s="12">
        <f t="shared" si="133"/>
        <v>1.0269176095475024E-5</v>
      </c>
      <c r="BJ124" s="12">
        <f t="shared" si="133"/>
        <v>2.6900559873277849E-5</v>
      </c>
      <c r="BK124" s="12">
        <f t="shared" si="133"/>
        <v>2.6867968566564091E-7</v>
      </c>
      <c r="BL124" s="12">
        <f t="shared" si="133"/>
        <v>-2.1640635074806747E-6</v>
      </c>
      <c r="BM124" s="12">
        <f t="shared" si="133"/>
        <v>2.3975315923064054E-6</v>
      </c>
      <c r="BN124" s="12">
        <f t="shared" si="133"/>
        <v>-6.0486134944476629E-6</v>
      </c>
      <c r="BO124" s="12">
        <f t="shared" si="133"/>
        <v>-5.6458967848601329E-6</v>
      </c>
      <c r="BP124" s="12">
        <f t="shared" ref="BP124:CY124" si="134">AVERAGE(BP104:BP123)</f>
        <v>1.9633944730035846E-5</v>
      </c>
      <c r="BQ124" s="12">
        <f t="shared" si="134"/>
        <v>-1.569776035250252E-5</v>
      </c>
      <c r="BR124" s="12">
        <f t="shared" si="134"/>
        <v>-5.7227057622024906E-6</v>
      </c>
      <c r="BS124" s="12">
        <f t="shared" si="134"/>
        <v>-4.181430039126502E-5</v>
      </c>
      <c r="BT124" s="12">
        <f t="shared" si="134"/>
        <v>2.1378820593510261E-5</v>
      </c>
      <c r="BU124" s="12">
        <f t="shared" si="134"/>
        <v>-7.5535066656300042E-6</v>
      </c>
      <c r="BV124" s="12">
        <f t="shared" si="134"/>
        <v>4.5589957018203458E-6</v>
      </c>
      <c r="BW124" s="12">
        <f t="shared" si="134"/>
        <v>-1.5580537617601164E-5</v>
      </c>
      <c r="BX124" s="12">
        <f t="shared" si="134"/>
        <v>-4.5482737937254782E-5</v>
      </c>
      <c r="BY124" s="12">
        <f t="shared" si="134"/>
        <v>2.9164544674087829E-5</v>
      </c>
      <c r="BZ124" s="12">
        <f t="shared" si="134"/>
        <v>-2.2117323705826248E-5</v>
      </c>
      <c r="CA124" s="12">
        <f t="shared" si="134"/>
        <v>-1.5772841572922889E-5</v>
      </c>
      <c r="CB124" s="12">
        <f t="shared" si="134"/>
        <v>5.5247901069016041E-5</v>
      </c>
      <c r="CC124" s="12">
        <f t="shared" si="134"/>
        <v>7.1410134791211238E-7</v>
      </c>
      <c r="CD124" s="12">
        <f t="shared" si="134"/>
        <v>1.4720253475625792E-6</v>
      </c>
      <c r="CE124" s="12">
        <f t="shared" si="134"/>
        <v>2.3931857022356357E-5</v>
      </c>
      <c r="CF124" s="12">
        <f t="shared" si="134"/>
        <v>2.6478983306654708E-5</v>
      </c>
      <c r="CG124" s="12">
        <f t="shared" si="134"/>
        <v>-1.0827308484164262E-5</v>
      </c>
      <c r="CH124" s="12">
        <f t="shared" si="134"/>
        <v>-4.0489300824877613E-5</v>
      </c>
      <c r="CI124" s="12">
        <f t="shared" si="134"/>
        <v>-3.852583115680642E-5</v>
      </c>
      <c r="CJ124" s="12">
        <f t="shared" si="134"/>
        <v>9.797460853201286E-5</v>
      </c>
      <c r="CK124" s="12">
        <f t="shared" si="134"/>
        <v>-3.8906548859163085E-5</v>
      </c>
      <c r="CL124" s="12">
        <f t="shared" si="134"/>
        <v>-1.0290619899066204E-4</v>
      </c>
      <c r="CM124" s="12">
        <f t="shared" si="134"/>
        <v>5.1223887252918611E-5</v>
      </c>
      <c r="CN124" s="12">
        <f t="shared" si="134"/>
        <v>-6.735059006376972E-5</v>
      </c>
      <c r="CO124" s="12">
        <f t="shared" si="134"/>
        <v>-4.6991543198111686E-5</v>
      </c>
      <c r="CP124" s="12">
        <f t="shared" si="134"/>
        <v>6.7710324468962915E-5</v>
      </c>
      <c r="CQ124" s="12">
        <f t="shared" si="134"/>
        <v>-1.0875337043699085E-4</v>
      </c>
      <c r="CR124" s="12">
        <f t="shared" si="134"/>
        <v>-1.4293268730411953E-4</v>
      </c>
      <c r="CS124" s="12">
        <f t="shared" si="134"/>
        <v>-1.9360457544415633E-4</v>
      </c>
      <c r="CT124" s="12">
        <f t="shared" si="134"/>
        <v>-2.0682544285449204E-4</v>
      </c>
      <c r="CU124" s="12">
        <f t="shared" si="134"/>
        <v>-3.4451961986484961E-4</v>
      </c>
      <c r="CV124" s="12">
        <f t="shared" si="134"/>
        <v>-5.4161849874678086E-4</v>
      </c>
      <c r="CW124" s="12">
        <f t="shared" si="134"/>
        <v>-8.2811268269799285E-4</v>
      </c>
      <c r="CX124" s="12">
        <f t="shared" si="134"/>
        <v>-7.6116258591168778E-4</v>
      </c>
      <c r="CY124" s="12">
        <f t="shared" si="134"/>
        <v>-8.7370966832252153E-4</v>
      </c>
    </row>
    <row r="125" spans="1:104" x14ac:dyDescent="0.3">
      <c r="B125" t="s">
        <v>23</v>
      </c>
      <c r="C125" s="12">
        <f t="shared" ref="C125" si="135">MEDIAN(C104:C123)</f>
        <v>-2.5984009558107821E-4</v>
      </c>
      <c r="D125" s="12">
        <f t="shared" ref="D125:BO125" si="136">MEDIAN(D104:D123)</f>
        <v>-1.4216519379980444E-7</v>
      </c>
      <c r="E125" s="12">
        <f t="shared" si="136"/>
        <v>4.1651034733126299E-5</v>
      </c>
      <c r="F125" s="12">
        <f t="shared" si="136"/>
        <v>-2.5087230663846956E-5</v>
      </c>
      <c r="G125" s="12">
        <f t="shared" si="136"/>
        <v>-9.1490754093325659E-5</v>
      </c>
      <c r="H125" s="12">
        <f t="shared" si="136"/>
        <v>-7.3512153225710206E-5</v>
      </c>
      <c r="I125" s="12">
        <f t="shared" si="136"/>
        <v>-8.3293075013743352E-6</v>
      </c>
      <c r="J125" s="12">
        <f t="shared" si="136"/>
        <v>-7.4306973537810578E-5</v>
      </c>
      <c r="K125" s="12">
        <f t="shared" si="136"/>
        <v>8.094282199054588E-6</v>
      </c>
      <c r="L125" s="12">
        <f t="shared" si="136"/>
        <v>-3.1009823800141527E-5</v>
      </c>
      <c r="M125" s="12">
        <f t="shared" si="136"/>
        <v>-2.3816685118070932E-5</v>
      </c>
      <c r="N125" s="12">
        <f t="shared" si="136"/>
        <v>-7.5859871645097176E-6</v>
      </c>
      <c r="O125" s="12">
        <f t="shared" si="136"/>
        <v>8.0707644628099176E-6</v>
      </c>
      <c r="P125" s="12">
        <f t="shared" si="136"/>
        <v>-3.9477301656904739E-5</v>
      </c>
      <c r="Q125" s="12">
        <f t="shared" si="136"/>
        <v>-5.5493521074282645E-5</v>
      </c>
      <c r="R125" s="12">
        <f t="shared" si="136"/>
        <v>2.37661768692499E-5</v>
      </c>
      <c r="S125" s="12">
        <f t="shared" si="136"/>
        <v>1.3593628190080892E-4</v>
      </c>
      <c r="T125" s="12">
        <f t="shared" si="136"/>
        <v>2.4161222714765238E-4</v>
      </c>
      <c r="U125" s="12">
        <f t="shared" si="136"/>
        <v>2.0849067995028898E-4</v>
      </c>
      <c r="V125" s="12">
        <f t="shared" si="136"/>
        <v>1.2975596306928942E-4</v>
      </c>
      <c r="W125" s="12">
        <f t="shared" si="136"/>
        <v>3.0804005292852515E-4</v>
      </c>
      <c r="X125" s="12">
        <f t="shared" si="136"/>
        <v>2.6758231194343613E-4</v>
      </c>
      <c r="Y125" s="12">
        <f t="shared" si="136"/>
        <v>2.9021466398809336E-4</v>
      </c>
      <c r="Z125" s="12">
        <f t="shared" si="136"/>
        <v>2.9116046212455504E-4</v>
      </c>
      <c r="AA125" s="12">
        <f t="shared" si="136"/>
        <v>2.0027699810197568E-4</v>
      </c>
      <c r="AB125" s="12">
        <f t="shared" si="136"/>
        <v>1.1333531848475511E-4</v>
      </c>
      <c r="AC125" s="12">
        <f t="shared" si="136"/>
        <v>1.2858199371428345E-4</v>
      </c>
      <c r="AD125" s="12">
        <f t="shared" si="136"/>
        <v>-6.6731109770912976E-5</v>
      </c>
      <c r="AE125" s="12">
        <f t="shared" si="136"/>
        <v>5.4073789524060803E-6</v>
      </c>
      <c r="AF125" s="12">
        <f t="shared" si="136"/>
        <v>2.6917424817212139E-5</v>
      </c>
      <c r="AG125" s="12">
        <f t="shared" si="136"/>
        <v>-8.8120060810505723E-5</v>
      </c>
      <c r="AH125" s="12">
        <f t="shared" si="136"/>
        <v>-2.444006288966737E-4</v>
      </c>
      <c r="AI125" s="12">
        <f t="shared" si="136"/>
        <v>-3.164956173233839E-4</v>
      </c>
      <c r="AJ125" s="12">
        <f t="shared" si="136"/>
        <v>-4.4036185062475391E-5</v>
      </c>
      <c r="AK125" s="12">
        <f t="shared" si="136"/>
        <v>-1.1873780368364554E-4</v>
      </c>
      <c r="AL125" s="12">
        <f t="shared" si="136"/>
        <v>-6.7752362085876281E-5</v>
      </c>
      <c r="AM125" s="12">
        <f t="shared" si="136"/>
        <v>-4.4251391535076557E-5</v>
      </c>
      <c r="AN125" s="12">
        <f t="shared" si="136"/>
        <v>-6.2479441728717782E-5</v>
      </c>
      <c r="AO125" s="12">
        <f t="shared" si="136"/>
        <v>-4.800347918947685E-5</v>
      </c>
      <c r="AP125" s="12">
        <f t="shared" si="136"/>
        <v>-4.9380677811969175E-5</v>
      </c>
      <c r="AQ125" s="12">
        <f t="shared" si="136"/>
        <v>-3.4451049375995045E-5</v>
      </c>
      <c r="AR125" s="12">
        <f t="shared" si="136"/>
        <v>-2.8626802598655905E-5</v>
      </c>
      <c r="AS125" s="12">
        <f t="shared" si="136"/>
        <v>-1.4672046535861431E-4</v>
      </c>
      <c r="AT125" s="12">
        <f t="shared" si="136"/>
        <v>1.4114525257942949E-5</v>
      </c>
      <c r="AU125" s="12">
        <f t="shared" si="136"/>
        <v>-1.5476190398644996E-5</v>
      </c>
      <c r="AV125" s="12">
        <f t="shared" si="136"/>
        <v>-6.9660197556320268E-6</v>
      </c>
      <c r="AW125" s="12">
        <f t="shared" si="136"/>
        <v>-1.325714891755379E-5</v>
      </c>
      <c r="AX125" s="12">
        <f t="shared" si="136"/>
        <v>0</v>
      </c>
      <c r="AY125" s="12">
        <f t="shared" si="136"/>
        <v>-6.3800139189152912E-5</v>
      </c>
      <c r="AZ125" s="12">
        <f t="shared" si="136"/>
        <v>0</v>
      </c>
      <c r="BA125" s="12">
        <f t="shared" si="136"/>
        <v>-4.2621971187710097E-5</v>
      </c>
      <c r="BB125" s="12">
        <f t="shared" si="136"/>
        <v>3.3233025611207489E-5</v>
      </c>
      <c r="BC125" s="12">
        <f t="shared" si="136"/>
        <v>-6.8170043356147573E-6</v>
      </c>
      <c r="BD125" s="12">
        <f t="shared" si="136"/>
        <v>-7.7145017203338842E-6</v>
      </c>
      <c r="BE125" s="12">
        <f t="shared" si="136"/>
        <v>1.6919877869760492E-5</v>
      </c>
      <c r="BF125" s="12">
        <f t="shared" si="136"/>
        <v>-7.7198616600790509E-6</v>
      </c>
      <c r="BG125" s="12">
        <f t="shared" si="136"/>
        <v>0</v>
      </c>
      <c r="BH125" s="12">
        <f t="shared" si="136"/>
        <v>0</v>
      </c>
      <c r="BI125" s="12">
        <f t="shared" si="136"/>
        <v>8.4128346204970296E-6</v>
      </c>
      <c r="BJ125" s="12">
        <f t="shared" si="136"/>
        <v>3.7176202759234693E-5</v>
      </c>
      <c r="BK125" s="12">
        <f t="shared" si="136"/>
        <v>-6.7316908569080855E-6</v>
      </c>
      <c r="BL125" s="12">
        <f t="shared" si="136"/>
        <v>-1.6727722855087739E-5</v>
      </c>
      <c r="BM125" s="12">
        <f t="shared" si="136"/>
        <v>1.7060070388268554E-5</v>
      </c>
      <c r="BN125" s="12">
        <f t="shared" si="136"/>
        <v>0</v>
      </c>
      <c r="BO125" s="12">
        <f t="shared" si="136"/>
        <v>1.6895929327790381E-5</v>
      </c>
      <c r="BP125" s="12">
        <f t="shared" ref="BP125:CY125" si="137">MEDIAN(BP104:BP123)</f>
        <v>8.6384132962457456E-6</v>
      </c>
      <c r="BQ125" s="12">
        <f t="shared" si="137"/>
        <v>-2.9730770172561856E-5</v>
      </c>
      <c r="BR125" s="12">
        <f t="shared" si="137"/>
        <v>-2.6721183673216356E-5</v>
      </c>
      <c r="BS125" s="12">
        <f t="shared" si="137"/>
        <v>-3.6950549503759454E-5</v>
      </c>
      <c r="BT125" s="12">
        <f t="shared" si="137"/>
        <v>4.6666736285063724E-5</v>
      </c>
      <c r="BU125" s="12">
        <f t="shared" si="137"/>
        <v>-1.8716519445621426E-5</v>
      </c>
      <c r="BV125" s="12">
        <f t="shared" si="137"/>
        <v>1.9527162273768632E-5</v>
      </c>
      <c r="BW125" s="12">
        <f t="shared" si="137"/>
        <v>-1.8909658071161045E-5</v>
      </c>
      <c r="BX125" s="12">
        <f t="shared" si="137"/>
        <v>-3.8150655564211361E-5</v>
      </c>
      <c r="BY125" s="12">
        <f t="shared" si="137"/>
        <v>0</v>
      </c>
      <c r="BZ125" s="12">
        <f t="shared" si="137"/>
        <v>-2.6848214770857041E-5</v>
      </c>
      <c r="CA125" s="12">
        <f t="shared" si="137"/>
        <v>-3.4645319310236703E-5</v>
      </c>
      <c r="CB125" s="12">
        <f t="shared" si="137"/>
        <v>3.6803209802077614E-5</v>
      </c>
      <c r="CC125" s="12">
        <f t="shared" si="137"/>
        <v>0</v>
      </c>
      <c r="CD125" s="12">
        <f t="shared" si="137"/>
        <v>-1.5336482424391142E-5</v>
      </c>
      <c r="CE125" s="12">
        <f t="shared" si="137"/>
        <v>1.8256170585657951E-5</v>
      </c>
      <c r="CF125" s="12">
        <f t="shared" si="137"/>
        <v>0</v>
      </c>
      <c r="CG125" s="12">
        <f t="shared" si="137"/>
        <v>2.288748512313467E-5</v>
      </c>
      <c r="CH125" s="12">
        <f t="shared" si="137"/>
        <v>-4.8695240712696487E-5</v>
      </c>
      <c r="CI125" s="12">
        <f t="shared" si="137"/>
        <v>-2.5952455102252672E-5</v>
      </c>
      <c r="CJ125" s="12">
        <f t="shared" si="137"/>
        <v>1.1007372696948716E-4</v>
      </c>
      <c r="CK125" s="12">
        <f t="shared" si="137"/>
        <v>-3.1304783370899071E-5</v>
      </c>
      <c r="CL125" s="12">
        <f t="shared" si="137"/>
        <v>-6.7888942299219608E-5</v>
      </c>
      <c r="CM125" s="12">
        <f t="shared" si="137"/>
        <v>3.8115566397316666E-5</v>
      </c>
      <c r="CN125" s="12">
        <f t="shared" si="137"/>
        <v>0</v>
      </c>
      <c r="CO125" s="12">
        <f t="shared" si="137"/>
        <v>-1.016570187056355E-4</v>
      </c>
      <c r="CP125" s="12">
        <f t="shared" si="137"/>
        <v>1.2128834138509431E-4</v>
      </c>
      <c r="CQ125" s="12">
        <f t="shared" si="137"/>
        <v>0</v>
      </c>
      <c r="CR125" s="12">
        <f t="shared" si="137"/>
        <v>-8.9126559714795006E-5</v>
      </c>
      <c r="CS125" s="12">
        <f t="shared" si="137"/>
        <v>-3.7463720737608195E-4</v>
      </c>
      <c r="CT125" s="12">
        <f t="shared" si="137"/>
        <v>-1.4556040756914121E-4</v>
      </c>
      <c r="CU125" s="12">
        <f t="shared" si="137"/>
        <v>0</v>
      </c>
      <c r="CV125" s="12">
        <f t="shared" si="137"/>
        <v>-6.2464286765081633E-4</v>
      </c>
      <c r="CW125" s="12">
        <f t="shared" si="137"/>
        <v>-6.0975609756097561E-4</v>
      </c>
      <c r="CX125" s="12">
        <f t="shared" si="137"/>
        <v>0</v>
      </c>
      <c r="CY125" s="12">
        <f t="shared" si="137"/>
        <v>0</v>
      </c>
    </row>
    <row r="127" spans="1:104" x14ac:dyDescent="0.3">
      <c r="A127" t="s">
        <v>26</v>
      </c>
    </row>
    <row r="128" spans="1:104" x14ac:dyDescent="0.3">
      <c r="A128" s="10">
        <v>2003</v>
      </c>
      <c r="C128" s="7">
        <f>D54+C79</f>
        <v>673</v>
      </c>
      <c r="D128" s="7">
        <f t="shared" ref="D128:BO128" si="138">E54+D79</f>
        <v>342</v>
      </c>
      <c r="E128" s="7">
        <f t="shared" si="138"/>
        <v>144</v>
      </c>
      <c r="F128" s="7">
        <f t="shared" si="138"/>
        <v>138</v>
      </c>
      <c r="G128" s="7">
        <f t="shared" si="138"/>
        <v>150</v>
      </c>
      <c r="H128" s="7">
        <f t="shared" si="138"/>
        <v>199</v>
      </c>
      <c r="I128" s="7">
        <f t="shared" si="138"/>
        <v>214</v>
      </c>
      <c r="J128" s="7">
        <f t="shared" si="138"/>
        <v>199</v>
      </c>
      <c r="K128" s="7">
        <f t="shared" si="138"/>
        <v>207</v>
      </c>
      <c r="L128" s="7">
        <f t="shared" si="138"/>
        <v>176</v>
      </c>
      <c r="M128" s="7">
        <f t="shared" si="138"/>
        <v>227</v>
      </c>
      <c r="N128" s="7">
        <f t="shared" si="138"/>
        <v>193</v>
      </c>
      <c r="O128" s="7">
        <f t="shared" si="138"/>
        <v>191</v>
      </c>
      <c r="P128" s="7">
        <f t="shared" si="138"/>
        <v>249</v>
      </c>
      <c r="Q128" s="7">
        <f t="shared" si="138"/>
        <v>221</v>
      </c>
      <c r="R128" s="7">
        <f t="shared" si="138"/>
        <v>287</v>
      </c>
      <c r="S128" s="7">
        <f t="shared" si="138"/>
        <v>340</v>
      </c>
      <c r="T128" s="7">
        <f t="shared" si="138"/>
        <v>402</v>
      </c>
      <c r="U128" s="7">
        <f t="shared" si="138"/>
        <v>429</v>
      </c>
      <c r="V128" s="7">
        <f t="shared" si="138"/>
        <v>346</v>
      </c>
      <c r="W128" s="7">
        <f t="shared" si="138"/>
        <v>396</v>
      </c>
      <c r="X128" s="7">
        <f t="shared" si="138"/>
        <v>326</v>
      </c>
      <c r="Y128" s="7">
        <f t="shared" si="138"/>
        <v>442</v>
      </c>
      <c r="Z128" s="7">
        <f t="shared" si="138"/>
        <v>441</v>
      </c>
      <c r="AA128" s="7">
        <f t="shared" si="138"/>
        <v>478</v>
      </c>
      <c r="AB128" s="7">
        <f t="shared" si="138"/>
        <v>545</v>
      </c>
      <c r="AC128" s="7">
        <f t="shared" si="138"/>
        <v>383</v>
      </c>
      <c r="AD128" s="7">
        <f t="shared" si="138"/>
        <v>466</v>
      </c>
      <c r="AE128" s="7">
        <f t="shared" si="138"/>
        <v>351</v>
      </c>
      <c r="AF128" s="7">
        <f t="shared" si="138"/>
        <v>325</v>
      </c>
      <c r="AG128" s="7">
        <f t="shared" si="138"/>
        <v>261</v>
      </c>
      <c r="AH128" s="7">
        <f t="shared" si="138"/>
        <v>207</v>
      </c>
      <c r="AI128" s="7">
        <f t="shared" si="138"/>
        <v>202</v>
      </c>
      <c r="AJ128" s="7">
        <f t="shared" si="138"/>
        <v>195</v>
      </c>
      <c r="AK128" s="7">
        <f t="shared" si="138"/>
        <v>178</v>
      </c>
      <c r="AL128" s="7">
        <f t="shared" si="138"/>
        <v>151</v>
      </c>
      <c r="AM128" s="7">
        <f t="shared" si="138"/>
        <v>171</v>
      </c>
      <c r="AN128" s="7">
        <f t="shared" si="138"/>
        <v>199</v>
      </c>
      <c r="AO128" s="7">
        <f t="shared" si="138"/>
        <v>143</v>
      </c>
      <c r="AP128" s="7">
        <f t="shared" si="138"/>
        <v>79</v>
      </c>
      <c r="AQ128" s="7">
        <f t="shared" si="138"/>
        <v>107</v>
      </c>
      <c r="AR128" s="7">
        <f t="shared" si="138"/>
        <v>78</v>
      </c>
      <c r="AS128" s="7">
        <f t="shared" si="138"/>
        <v>75</v>
      </c>
      <c r="AT128" s="7">
        <f t="shared" si="138"/>
        <v>95</v>
      </c>
      <c r="AU128" s="7">
        <f t="shared" si="138"/>
        <v>10</v>
      </c>
      <c r="AV128" s="7">
        <f t="shared" si="138"/>
        <v>31</v>
      </c>
      <c r="AW128" s="7">
        <f t="shared" si="138"/>
        <v>51</v>
      </c>
      <c r="AX128" s="7">
        <f t="shared" si="138"/>
        <v>38</v>
      </c>
      <c r="AY128" s="7">
        <f t="shared" si="138"/>
        <v>39</v>
      </c>
      <c r="AZ128" s="7">
        <f t="shared" si="138"/>
        <v>11</v>
      </c>
      <c r="BA128" s="7">
        <f t="shared" si="138"/>
        <v>-2</v>
      </c>
      <c r="BB128" s="7">
        <f t="shared" si="138"/>
        <v>-25</v>
      </c>
      <c r="BC128" s="7">
        <f t="shared" si="138"/>
        <v>-15</v>
      </c>
      <c r="BD128" s="7">
        <f t="shared" si="138"/>
        <v>-37</v>
      </c>
      <c r="BE128" s="7">
        <f t="shared" si="138"/>
        <v>-5</v>
      </c>
      <c r="BF128" s="7">
        <f t="shared" si="138"/>
        <v>-20</v>
      </c>
      <c r="BG128" s="7">
        <f t="shared" si="138"/>
        <v>-54</v>
      </c>
      <c r="BH128" s="7">
        <f t="shared" si="138"/>
        <v>-39</v>
      </c>
      <c r="BI128" s="7">
        <f t="shared" si="138"/>
        <v>-46</v>
      </c>
      <c r="BJ128" s="7">
        <f t="shared" si="138"/>
        <v>-30</v>
      </c>
      <c r="BK128" s="7">
        <f t="shared" si="138"/>
        <v>-39</v>
      </c>
      <c r="BL128" s="7">
        <f t="shared" si="138"/>
        <v>-87</v>
      </c>
      <c r="BM128" s="7">
        <f t="shared" si="138"/>
        <v>-40</v>
      </c>
      <c r="BN128" s="7">
        <f t="shared" si="138"/>
        <v>-50</v>
      </c>
      <c r="BO128" s="7">
        <f t="shared" si="138"/>
        <v>-46</v>
      </c>
      <c r="BP128" s="7">
        <f t="shared" ref="BP128:CZ128" si="139">BQ54+BP79</f>
        <v>-57</v>
      </c>
      <c r="BQ128" s="7">
        <f t="shared" si="139"/>
        <v>-76</v>
      </c>
      <c r="BR128" s="7">
        <f t="shared" si="139"/>
        <v>-35</v>
      </c>
      <c r="BS128" s="7">
        <f t="shared" si="139"/>
        <v>-32</v>
      </c>
      <c r="BT128" s="7">
        <f t="shared" si="139"/>
        <v>-27</v>
      </c>
      <c r="BU128" s="7">
        <f t="shared" si="139"/>
        <v>-19</v>
      </c>
      <c r="BV128" s="7">
        <f t="shared" si="139"/>
        <v>-24</v>
      </c>
      <c r="BW128" s="7">
        <f t="shared" si="139"/>
        <v>-11</v>
      </c>
      <c r="BX128" s="7">
        <f t="shared" si="139"/>
        <v>-8</v>
      </c>
      <c r="BY128" s="7">
        <f t="shared" si="139"/>
        <v>0</v>
      </c>
      <c r="BZ128" s="7">
        <f t="shared" si="139"/>
        <v>-23</v>
      </c>
      <c r="CA128" s="7">
        <f t="shared" si="139"/>
        <v>-7</v>
      </c>
      <c r="CB128" s="7">
        <f t="shared" si="139"/>
        <v>9</v>
      </c>
      <c r="CC128" s="7">
        <f t="shared" si="139"/>
        <v>-5</v>
      </c>
      <c r="CD128" s="7">
        <f t="shared" si="139"/>
        <v>1</v>
      </c>
      <c r="CE128" s="7">
        <f t="shared" si="139"/>
        <v>1</v>
      </c>
      <c r="CF128" s="7">
        <f t="shared" si="139"/>
        <v>-4</v>
      </c>
      <c r="CG128" s="7">
        <f t="shared" si="139"/>
        <v>-9</v>
      </c>
      <c r="CH128" s="7">
        <f t="shared" si="139"/>
        <v>-1</v>
      </c>
      <c r="CI128" s="7">
        <f t="shared" si="139"/>
        <v>-6</v>
      </c>
      <c r="CJ128" s="7">
        <f t="shared" si="139"/>
        <v>4</v>
      </c>
      <c r="CK128" s="7">
        <f t="shared" si="139"/>
        <v>-8</v>
      </c>
      <c r="CL128" s="7">
        <f t="shared" si="139"/>
        <v>-2</v>
      </c>
      <c r="CM128" s="7">
        <f t="shared" si="139"/>
        <v>4</v>
      </c>
      <c r="CN128" s="7">
        <f t="shared" si="139"/>
        <v>-3</v>
      </c>
      <c r="CO128" s="7">
        <f t="shared" si="139"/>
        <v>-2</v>
      </c>
      <c r="CP128" s="7">
        <f t="shared" si="139"/>
        <v>-3</v>
      </c>
      <c r="CQ128" s="7">
        <f t="shared" si="139"/>
        <v>-1</v>
      </c>
      <c r="CR128" s="7">
        <f t="shared" si="139"/>
        <v>-3</v>
      </c>
      <c r="CS128" s="7">
        <f t="shared" si="139"/>
        <v>-1</v>
      </c>
      <c r="CT128" s="7">
        <f t="shared" si="139"/>
        <v>0</v>
      </c>
      <c r="CU128" s="7">
        <f t="shared" si="139"/>
        <v>-1</v>
      </c>
      <c r="CV128" s="7">
        <f t="shared" si="139"/>
        <v>-1</v>
      </c>
      <c r="CW128" s="7">
        <f t="shared" si="139"/>
        <v>0</v>
      </c>
      <c r="CX128" s="7">
        <f t="shared" si="139"/>
        <v>0</v>
      </c>
      <c r="CY128" s="7">
        <f t="shared" si="139"/>
        <v>0</v>
      </c>
      <c r="CZ128" s="7">
        <f t="shared" si="139"/>
        <v>0</v>
      </c>
    </row>
    <row r="129" spans="1:104" x14ac:dyDescent="0.3">
      <c r="A129" s="10">
        <v>2004</v>
      </c>
      <c r="C129" s="7">
        <f t="shared" ref="C129:BN129" si="140">D55+C80</f>
        <v>857</v>
      </c>
      <c r="D129" s="7">
        <f t="shared" si="140"/>
        <v>372</v>
      </c>
      <c r="E129" s="7">
        <f t="shared" si="140"/>
        <v>170</v>
      </c>
      <c r="F129" s="7">
        <f t="shared" si="140"/>
        <v>161</v>
      </c>
      <c r="G129" s="7">
        <f t="shared" si="140"/>
        <v>169</v>
      </c>
      <c r="H129" s="7">
        <f t="shared" si="140"/>
        <v>136</v>
      </c>
      <c r="I129" s="7">
        <f t="shared" si="140"/>
        <v>192</v>
      </c>
      <c r="J129" s="7">
        <f t="shared" si="140"/>
        <v>185</v>
      </c>
      <c r="K129" s="7">
        <f t="shared" si="140"/>
        <v>204</v>
      </c>
      <c r="L129" s="7">
        <f t="shared" si="140"/>
        <v>179</v>
      </c>
      <c r="M129" s="7">
        <f t="shared" si="140"/>
        <v>197</v>
      </c>
      <c r="N129" s="7">
        <f t="shared" si="140"/>
        <v>165</v>
      </c>
      <c r="O129" s="7">
        <f t="shared" si="140"/>
        <v>209</v>
      </c>
      <c r="P129" s="7">
        <f t="shared" si="140"/>
        <v>182</v>
      </c>
      <c r="Q129" s="7">
        <f t="shared" si="140"/>
        <v>177</v>
      </c>
      <c r="R129" s="7">
        <f t="shared" si="140"/>
        <v>319</v>
      </c>
      <c r="S129" s="7">
        <f t="shared" si="140"/>
        <v>353</v>
      </c>
      <c r="T129" s="7">
        <f t="shared" si="140"/>
        <v>311</v>
      </c>
      <c r="U129" s="7">
        <f t="shared" si="140"/>
        <v>371</v>
      </c>
      <c r="V129" s="7">
        <f t="shared" si="140"/>
        <v>352</v>
      </c>
      <c r="W129" s="7">
        <f t="shared" si="140"/>
        <v>257</v>
      </c>
      <c r="X129" s="7">
        <f t="shared" si="140"/>
        <v>354</v>
      </c>
      <c r="Y129" s="7">
        <f t="shared" si="140"/>
        <v>535</v>
      </c>
      <c r="Z129" s="7">
        <f t="shared" si="140"/>
        <v>567</v>
      </c>
      <c r="AA129" s="7">
        <f t="shared" si="140"/>
        <v>572</v>
      </c>
      <c r="AB129" s="7">
        <f t="shared" si="140"/>
        <v>615</v>
      </c>
      <c r="AC129" s="7">
        <f t="shared" si="140"/>
        <v>524</v>
      </c>
      <c r="AD129" s="7">
        <f t="shared" si="140"/>
        <v>483</v>
      </c>
      <c r="AE129" s="7">
        <f t="shared" si="140"/>
        <v>493</v>
      </c>
      <c r="AF129" s="7">
        <f t="shared" si="140"/>
        <v>524</v>
      </c>
      <c r="AG129" s="7">
        <f t="shared" si="140"/>
        <v>316</v>
      </c>
      <c r="AH129" s="7">
        <f t="shared" si="140"/>
        <v>337</v>
      </c>
      <c r="AI129" s="7">
        <f t="shared" si="140"/>
        <v>315</v>
      </c>
      <c r="AJ129" s="7">
        <f t="shared" si="140"/>
        <v>290</v>
      </c>
      <c r="AK129" s="7">
        <f t="shared" si="140"/>
        <v>225</v>
      </c>
      <c r="AL129" s="7">
        <f t="shared" si="140"/>
        <v>240</v>
      </c>
      <c r="AM129" s="7">
        <f t="shared" si="140"/>
        <v>161</v>
      </c>
      <c r="AN129" s="7">
        <f t="shared" si="140"/>
        <v>174</v>
      </c>
      <c r="AO129" s="7">
        <f t="shared" si="140"/>
        <v>116</v>
      </c>
      <c r="AP129" s="7">
        <f t="shared" si="140"/>
        <v>183</v>
      </c>
      <c r="AQ129" s="7">
        <f t="shared" si="140"/>
        <v>91</v>
      </c>
      <c r="AR129" s="7">
        <f t="shared" si="140"/>
        <v>97</v>
      </c>
      <c r="AS129" s="7">
        <f t="shared" si="140"/>
        <v>114</v>
      </c>
      <c r="AT129" s="7">
        <f t="shared" si="140"/>
        <v>108</v>
      </c>
      <c r="AU129" s="7">
        <f t="shared" si="140"/>
        <v>76</v>
      </c>
      <c r="AV129" s="7">
        <f t="shared" si="140"/>
        <v>86</v>
      </c>
      <c r="AW129" s="7">
        <f t="shared" si="140"/>
        <v>85</v>
      </c>
      <c r="AX129" s="7">
        <f t="shared" si="140"/>
        <v>66</v>
      </c>
      <c r="AY129" s="7">
        <f t="shared" si="140"/>
        <v>53</v>
      </c>
      <c r="AZ129" s="7">
        <f t="shared" si="140"/>
        <v>58</v>
      </c>
      <c r="BA129" s="7">
        <f t="shared" si="140"/>
        <v>21</v>
      </c>
      <c r="BB129" s="7">
        <f t="shared" si="140"/>
        <v>-5</v>
      </c>
      <c r="BC129" s="7">
        <f t="shared" si="140"/>
        <v>2</v>
      </c>
      <c r="BD129" s="7">
        <f t="shared" si="140"/>
        <v>1</v>
      </c>
      <c r="BE129" s="7">
        <f t="shared" si="140"/>
        <v>9</v>
      </c>
      <c r="BF129" s="7">
        <f t="shared" si="140"/>
        <v>-11</v>
      </c>
      <c r="BG129" s="7">
        <f t="shared" si="140"/>
        <v>-41</v>
      </c>
      <c r="BH129" s="7">
        <f t="shared" si="140"/>
        <v>-49</v>
      </c>
      <c r="BI129" s="7">
        <f t="shared" si="140"/>
        <v>-64</v>
      </c>
      <c r="BJ129" s="7">
        <f t="shared" si="140"/>
        <v>-27</v>
      </c>
      <c r="BK129" s="7">
        <f t="shared" si="140"/>
        <v>-37</v>
      </c>
      <c r="BL129" s="7">
        <f t="shared" si="140"/>
        <v>-42</v>
      </c>
      <c r="BM129" s="7">
        <f t="shared" si="140"/>
        <v>-27</v>
      </c>
      <c r="BN129" s="7">
        <f t="shared" si="140"/>
        <v>-6</v>
      </c>
      <c r="BO129" s="7">
        <f t="shared" ref="BO129:CZ129" si="141">BP55+BO80</f>
        <v>-9</v>
      </c>
      <c r="BP129" s="7">
        <f t="shared" si="141"/>
        <v>-27</v>
      </c>
      <c r="BQ129" s="7">
        <f t="shared" si="141"/>
        <v>-40</v>
      </c>
      <c r="BR129" s="7">
        <f t="shared" si="141"/>
        <v>-22</v>
      </c>
      <c r="BS129" s="7">
        <f t="shared" si="141"/>
        <v>-27</v>
      </c>
      <c r="BT129" s="7">
        <f t="shared" si="141"/>
        <v>-19</v>
      </c>
      <c r="BU129" s="7">
        <f t="shared" si="141"/>
        <v>-13</v>
      </c>
      <c r="BV129" s="7">
        <f t="shared" si="141"/>
        <v>-13</v>
      </c>
      <c r="BW129" s="7">
        <f t="shared" si="141"/>
        <v>2</v>
      </c>
      <c r="BX129" s="7">
        <f t="shared" si="141"/>
        <v>-14</v>
      </c>
      <c r="BY129" s="7">
        <f t="shared" si="141"/>
        <v>-4</v>
      </c>
      <c r="BZ129" s="7">
        <f t="shared" si="141"/>
        <v>-1</v>
      </c>
      <c r="CA129" s="7">
        <f t="shared" si="141"/>
        <v>7</v>
      </c>
      <c r="CB129" s="7">
        <f t="shared" si="141"/>
        <v>-12</v>
      </c>
      <c r="CC129" s="7">
        <f t="shared" si="141"/>
        <v>-4</v>
      </c>
      <c r="CD129" s="7">
        <f t="shared" si="141"/>
        <v>-9</v>
      </c>
      <c r="CE129" s="7">
        <f t="shared" si="141"/>
        <v>8</v>
      </c>
      <c r="CF129" s="7">
        <f t="shared" si="141"/>
        <v>-1</v>
      </c>
      <c r="CG129" s="7">
        <f t="shared" si="141"/>
        <v>0</v>
      </c>
      <c r="CH129" s="7">
        <f t="shared" si="141"/>
        <v>-3</v>
      </c>
      <c r="CI129" s="7">
        <f t="shared" si="141"/>
        <v>-4</v>
      </c>
      <c r="CJ129" s="7">
        <f t="shared" si="141"/>
        <v>0</v>
      </c>
      <c r="CK129" s="7">
        <f t="shared" si="141"/>
        <v>2</v>
      </c>
      <c r="CL129" s="7">
        <f t="shared" si="141"/>
        <v>-10</v>
      </c>
      <c r="CM129" s="7">
        <f t="shared" si="141"/>
        <v>-2</v>
      </c>
      <c r="CN129" s="7">
        <f t="shared" si="141"/>
        <v>-8</v>
      </c>
      <c r="CO129" s="7">
        <f t="shared" si="141"/>
        <v>3</v>
      </c>
      <c r="CP129" s="7">
        <f t="shared" si="141"/>
        <v>-4</v>
      </c>
      <c r="CQ129" s="7">
        <f t="shared" si="141"/>
        <v>-1</v>
      </c>
      <c r="CR129" s="7">
        <f t="shared" si="141"/>
        <v>-3</v>
      </c>
      <c r="CS129" s="7">
        <f t="shared" si="141"/>
        <v>0</v>
      </c>
      <c r="CT129" s="7">
        <f t="shared" si="141"/>
        <v>0</v>
      </c>
      <c r="CU129" s="7">
        <f t="shared" si="141"/>
        <v>-2</v>
      </c>
      <c r="CV129" s="7">
        <f t="shared" si="141"/>
        <v>0</v>
      </c>
      <c r="CW129" s="7">
        <f t="shared" si="141"/>
        <v>1</v>
      </c>
      <c r="CX129" s="7">
        <f t="shared" si="141"/>
        <v>-3</v>
      </c>
      <c r="CY129" s="7">
        <f t="shared" si="141"/>
        <v>-2</v>
      </c>
      <c r="CZ129" s="7">
        <f t="shared" si="141"/>
        <v>0</v>
      </c>
    </row>
    <row r="130" spans="1:104" x14ac:dyDescent="0.3">
      <c r="A130" s="10">
        <v>2005</v>
      </c>
      <c r="C130" s="7">
        <f t="shared" ref="C130:BN130" si="142">D56+C81</f>
        <v>708</v>
      </c>
      <c r="D130" s="7">
        <f t="shared" si="142"/>
        <v>466</v>
      </c>
      <c r="E130" s="7">
        <f t="shared" si="142"/>
        <v>191</v>
      </c>
      <c r="F130" s="7">
        <f t="shared" si="142"/>
        <v>227</v>
      </c>
      <c r="G130" s="7">
        <f t="shared" si="142"/>
        <v>186</v>
      </c>
      <c r="H130" s="7">
        <f t="shared" si="142"/>
        <v>240</v>
      </c>
      <c r="I130" s="7">
        <f t="shared" si="142"/>
        <v>270</v>
      </c>
      <c r="J130" s="7">
        <f t="shared" si="142"/>
        <v>271</v>
      </c>
      <c r="K130" s="7">
        <f t="shared" si="142"/>
        <v>270</v>
      </c>
      <c r="L130" s="7">
        <f t="shared" si="142"/>
        <v>282</v>
      </c>
      <c r="M130" s="7">
        <f t="shared" si="142"/>
        <v>250</v>
      </c>
      <c r="N130" s="7">
        <f t="shared" si="142"/>
        <v>233</v>
      </c>
      <c r="O130" s="7">
        <f t="shared" si="142"/>
        <v>223</v>
      </c>
      <c r="P130" s="7">
        <f t="shared" si="142"/>
        <v>261</v>
      </c>
      <c r="Q130" s="7">
        <f t="shared" si="142"/>
        <v>255</v>
      </c>
      <c r="R130" s="7">
        <f t="shared" si="142"/>
        <v>251</v>
      </c>
      <c r="S130" s="7">
        <f t="shared" si="142"/>
        <v>298</v>
      </c>
      <c r="T130" s="7">
        <f t="shared" si="142"/>
        <v>286</v>
      </c>
      <c r="U130" s="7">
        <f t="shared" si="142"/>
        <v>347</v>
      </c>
      <c r="V130" s="7">
        <f t="shared" si="142"/>
        <v>370</v>
      </c>
      <c r="W130" s="7">
        <f t="shared" si="142"/>
        <v>344</v>
      </c>
      <c r="X130" s="7">
        <f t="shared" si="142"/>
        <v>502</v>
      </c>
      <c r="Y130" s="7">
        <f t="shared" si="142"/>
        <v>663</v>
      </c>
      <c r="Z130" s="7">
        <f t="shared" si="142"/>
        <v>584</v>
      </c>
      <c r="AA130" s="7">
        <f t="shared" si="142"/>
        <v>745</v>
      </c>
      <c r="AB130" s="7">
        <f t="shared" si="142"/>
        <v>773</v>
      </c>
      <c r="AC130" s="7">
        <f t="shared" si="142"/>
        <v>755</v>
      </c>
      <c r="AD130" s="7">
        <f t="shared" si="142"/>
        <v>733</v>
      </c>
      <c r="AE130" s="7">
        <f t="shared" si="142"/>
        <v>728</v>
      </c>
      <c r="AF130" s="7">
        <f t="shared" si="142"/>
        <v>643</v>
      </c>
      <c r="AG130" s="7">
        <f t="shared" si="142"/>
        <v>546</v>
      </c>
      <c r="AH130" s="7">
        <f t="shared" si="142"/>
        <v>511</v>
      </c>
      <c r="AI130" s="7">
        <f t="shared" si="142"/>
        <v>561</v>
      </c>
      <c r="AJ130" s="7">
        <f t="shared" si="142"/>
        <v>480</v>
      </c>
      <c r="AK130" s="7">
        <f t="shared" si="142"/>
        <v>482</v>
      </c>
      <c r="AL130" s="7">
        <f t="shared" si="142"/>
        <v>354</v>
      </c>
      <c r="AM130" s="7">
        <f t="shared" si="142"/>
        <v>381</v>
      </c>
      <c r="AN130" s="7">
        <f t="shared" si="142"/>
        <v>331</v>
      </c>
      <c r="AO130" s="7">
        <f t="shared" si="142"/>
        <v>261</v>
      </c>
      <c r="AP130" s="7">
        <f t="shared" si="142"/>
        <v>237</v>
      </c>
      <c r="AQ130" s="7">
        <f t="shared" si="142"/>
        <v>217</v>
      </c>
      <c r="AR130" s="7">
        <f t="shared" si="142"/>
        <v>238</v>
      </c>
      <c r="AS130" s="7">
        <f t="shared" si="142"/>
        <v>219</v>
      </c>
      <c r="AT130" s="7">
        <f t="shared" si="142"/>
        <v>161</v>
      </c>
      <c r="AU130" s="7">
        <f t="shared" si="142"/>
        <v>194</v>
      </c>
      <c r="AV130" s="7">
        <f t="shared" si="142"/>
        <v>129</v>
      </c>
      <c r="AW130" s="7">
        <f t="shared" si="142"/>
        <v>157</v>
      </c>
      <c r="AX130" s="7">
        <f t="shared" si="142"/>
        <v>93</v>
      </c>
      <c r="AY130" s="7">
        <f t="shared" si="142"/>
        <v>62</v>
      </c>
      <c r="AZ130" s="7">
        <f t="shared" si="142"/>
        <v>62</v>
      </c>
      <c r="BA130" s="7">
        <f t="shared" si="142"/>
        <v>43</v>
      </c>
      <c r="BB130" s="7">
        <f t="shared" si="142"/>
        <v>44</v>
      </c>
      <c r="BC130" s="7">
        <f t="shared" si="142"/>
        <v>42</v>
      </c>
      <c r="BD130" s="7">
        <f t="shared" si="142"/>
        <v>14</v>
      </c>
      <c r="BE130" s="7">
        <f t="shared" si="142"/>
        <v>14</v>
      </c>
      <c r="BF130" s="7">
        <f t="shared" si="142"/>
        <v>-9</v>
      </c>
      <c r="BG130" s="7">
        <f t="shared" si="142"/>
        <v>-10</v>
      </c>
      <c r="BH130" s="7">
        <f t="shared" si="142"/>
        <v>-21</v>
      </c>
      <c r="BI130" s="7">
        <f t="shared" si="142"/>
        <v>-22</v>
      </c>
      <c r="BJ130" s="7">
        <f t="shared" si="142"/>
        <v>3</v>
      </c>
      <c r="BK130" s="7">
        <f t="shared" si="142"/>
        <v>-27</v>
      </c>
      <c r="BL130" s="7">
        <f t="shared" si="142"/>
        <v>-43</v>
      </c>
      <c r="BM130" s="7">
        <f t="shared" si="142"/>
        <v>-37</v>
      </c>
      <c r="BN130" s="7">
        <f t="shared" si="142"/>
        <v>-23</v>
      </c>
      <c r="BO130" s="7">
        <f t="shared" ref="BO130:CZ130" si="143">BP56+BO81</f>
        <v>-23</v>
      </c>
      <c r="BP130" s="7">
        <f t="shared" si="143"/>
        <v>-7</v>
      </c>
      <c r="BQ130" s="7">
        <f t="shared" si="143"/>
        <v>-9</v>
      </c>
      <c r="BR130" s="7">
        <f t="shared" si="143"/>
        <v>-26</v>
      </c>
      <c r="BS130" s="7">
        <f t="shared" si="143"/>
        <v>-4</v>
      </c>
      <c r="BT130" s="7">
        <f t="shared" si="143"/>
        <v>-9</v>
      </c>
      <c r="BU130" s="7">
        <f t="shared" si="143"/>
        <v>-6</v>
      </c>
      <c r="BV130" s="7">
        <f t="shared" si="143"/>
        <v>2</v>
      </c>
      <c r="BW130" s="7">
        <f t="shared" si="143"/>
        <v>2</v>
      </c>
      <c r="BX130" s="7">
        <f t="shared" si="143"/>
        <v>2</v>
      </c>
      <c r="BY130" s="7">
        <f t="shared" si="143"/>
        <v>3</v>
      </c>
      <c r="BZ130" s="7">
        <f t="shared" si="143"/>
        <v>4</v>
      </c>
      <c r="CA130" s="7">
        <f t="shared" si="143"/>
        <v>2</v>
      </c>
      <c r="CB130" s="7">
        <f t="shared" si="143"/>
        <v>7</v>
      </c>
      <c r="CC130" s="7">
        <f t="shared" si="143"/>
        <v>14</v>
      </c>
      <c r="CD130" s="7">
        <f t="shared" si="143"/>
        <v>5</v>
      </c>
      <c r="CE130" s="7">
        <f t="shared" si="143"/>
        <v>3</v>
      </c>
      <c r="CF130" s="7">
        <f t="shared" si="143"/>
        <v>-5</v>
      </c>
      <c r="CG130" s="7">
        <f t="shared" si="143"/>
        <v>7</v>
      </c>
      <c r="CH130" s="7">
        <f t="shared" si="143"/>
        <v>5</v>
      </c>
      <c r="CI130" s="7">
        <f t="shared" si="143"/>
        <v>-2</v>
      </c>
      <c r="CJ130" s="7">
        <f t="shared" si="143"/>
        <v>1</v>
      </c>
      <c r="CK130" s="7">
        <f t="shared" si="143"/>
        <v>5</v>
      </c>
      <c r="CL130" s="7">
        <f t="shared" si="143"/>
        <v>-6</v>
      </c>
      <c r="CM130" s="7">
        <f t="shared" si="143"/>
        <v>4</v>
      </c>
      <c r="CN130" s="7">
        <f t="shared" si="143"/>
        <v>7</v>
      </c>
      <c r="CO130" s="7">
        <f t="shared" si="143"/>
        <v>-2</v>
      </c>
      <c r="CP130" s="7">
        <f t="shared" si="143"/>
        <v>4</v>
      </c>
      <c r="CQ130" s="7">
        <f t="shared" si="143"/>
        <v>-6</v>
      </c>
      <c r="CR130" s="7">
        <f t="shared" si="143"/>
        <v>1</v>
      </c>
      <c r="CS130" s="7">
        <f t="shared" si="143"/>
        <v>-1</v>
      </c>
      <c r="CT130" s="7">
        <f t="shared" si="143"/>
        <v>-3</v>
      </c>
      <c r="CU130" s="7">
        <f t="shared" si="143"/>
        <v>-1</v>
      </c>
      <c r="CV130" s="7">
        <f t="shared" si="143"/>
        <v>-1</v>
      </c>
      <c r="CW130" s="7">
        <f t="shared" si="143"/>
        <v>0</v>
      </c>
      <c r="CX130" s="7">
        <f t="shared" si="143"/>
        <v>0</v>
      </c>
      <c r="CY130" s="7">
        <f t="shared" si="143"/>
        <v>0</v>
      </c>
      <c r="CZ130" s="7">
        <f t="shared" si="143"/>
        <v>0</v>
      </c>
    </row>
    <row r="131" spans="1:104" x14ac:dyDescent="0.3">
      <c r="A131" s="10">
        <v>2006</v>
      </c>
      <c r="C131" s="7">
        <f t="shared" ref="C131:BN131" si="144">D57+C82</f>
        <v>750</v>
      </c>
      <c r="D131" s="7">
        <f t="shared" si="144"/>
        <v>494</v>
      </c>
      <c r="E131" s="7">
        <f t="shared" si="144"/>
        <v>246</v>
      </c>
      <c r="F131" s="7">
        <f t="shared" si="144"/>
        <v>221</v>
      </c>
      <c r="G131" s="7">
        <f t="shared" si="144"/>
        <v>280</v>
      </c>
      <c r="H131" s="7">
        <f t="shared" si="144"/>
        <v>237</v>
      </c>
      <c r="I131" s="7">
        <f t="shared" si="144"/>
        <v>246</v>
      </c>
      <c r="J131" s="7">
        <f t="shared" si="144"/>
        <v>280</v>
      </c>
      <c r="K131" s="7">
        <f t="shared" si="144"/>
        <v>214</v>
      </c>
      <c r="L131" s="7">
        <f t="shared" si="144"/>
        <v>264</v>
      </c>
      <c r="M131" s="7">
        <f t="shared" si="144"/>
        <v>219</v>
      </c>
      <c r="N131" s="7">
        <f t="shared" si="144"/>
        <v>249</v>
      </c>
      <c r="O131" s="7">
        <f t="shared" si="144"/>
        <v>276</v>
      </c>
      <c r="P131" s="7">
        <f t="shared" si="144"/>
        <v>190</v>
      </c>
      <c r="Q131" s="7">
        <f t="shared" si="144"/>
        <v>223</v>
      </c>
      <c r="R131" s="7">
        <f t="shared" si="144"/>
        <v>284</v>
      </c>
      <c r="S131" s="7">
        <f t="shared" si="144"/>
        <v>332</v>
      </c>
      <c r="T131" s="7">
        <f t="shared" si="144"/>
        <v>302</v>
      </c>
      <c r="U131" s="7">
        <f t="shared" si="144"/>
        <v>398</v>
      </c>
      <c r="V131" s="7">
        <f t="shared" si="144"/>
        <v>389</v>
      </c>
      <c r="W131" s="7">
        <f t="shared" si="144"/>
        <v>388</v>
      </c>
      <c r="X131" s="7">
        <f t="shared" si="144"/>
        <v>616</v>
      </c>
      <c r="Y131" s="7">
        <f t="shared" si="144"/>
        <v>841</v>
      </c>
      <c r="Z131" s="7">
        <f t="shared" si="144"/>
        <v>913</v>
      </c>
      <c r="AA131" s="7">
        <f t="shared" si="144"/>
        <v>940</v>
      </c>
      <c r="AB131" s="7">
        <f t="shared" si="144"/>
        <v>1115</v>
      </c>
      <c r="AC131" s="7">
        <f t="shared" si="144"/>
        <v>1134</v>
      </c>
      <c r="AD131" s="7">
        <f t="shared" si="144"/>
        <v>1069</v>
      </c>
      <c r="AE131" s="7">
        <f t="shared" si="144"/>
        <v>970</v>
      </c>
      <c r="AF131" s="7">
        <f t="shared" si="144"/>
        <v>912</v>
      </c>
      <c r="AG131" s="7">
        <f t="shared" si="144"/>
        <v>743</v>
      </c>
      <c r="AH131" s="7">
        <f t="shared" si="144"/>
        <v>737</v>
      </c>
      <c r="AI131" s="7">
        <f t="shared" si="144"/>
        <v>589</v>
      </c>
      <c r="AJ131" s="7">
        <f t="shared" si="144"/>
        <v>614</v>
      </c>
      <c r="AK131" s="7">
        <f t="shared" si="144"/>
        <v>588</v>
      </c>
      <c r="AL131" s="7">
        <f t="shared" si="144"/>
        <v>556</v>
      </c>
      <c r="AM131" s="7">
        <f t="shared" si="144"/>
        <v>509</v>
      </c>
      <c r="AN131" s="7">
        <f t="shared" si="144"/>
        <v>433</v>
      </c>
      <c r="AO131" s="7">
        <f t="shared" si="144"/>
        <v>412</v>
      </c>
      <c r="AP131" s="7">
        <f t="shared" si="144"/>
        <v>342</v>
      </c>
      <c r="AQ131" s="7">
        <f t="shared" si="144"/>
        <v>348</v>
      </c>
      <c r="AR131" s="7">
        <f t="shared" si="144"/>
        <v>323</v>
      </c>
      <c r="AS131" s="7">
        <f t="shared" si="144"/>
        <v>262</v>
      </c>
      <c r="AT131" s="7">
        <f t="shared" si="144"/>
        <v>270</v>
      </c>
      <c r="AU131" s="7">
        <f t="shared" si="144"/>
        <v>237</v>
      </c>
      <c r="AV131" s="7">
        <f t="shared" si="144"/>
        <v>247</v>
      </c>
      <c r="AW131" s="7">
        <f t="shared" si="144"/>
        <v>162</v>
      </c>
      <c r="AX131" s="7">
        <f t="shared" si="144"/>
        <v>221</v>
      </c>
      <c r="AY131" s="7">
        <f t="shared" si="144"/>
        <v>171</v>
      </c>
      <c r="AZ131" s="7">
        <f t="shared" si="144"/>
        <v>169</v>
      </c>
      <c r="BA131" s="7">
        <f t="shared" si="144"/>
        <v>117</v>
      </c>
      <c r="BB131" s="7">
        <f t="shared" si="144"/>
        <v>112</v>
      </c>
      <c r="BC131" s="7">
        <f t="shared" si="144"/>
        <v>81</v>
      </c>
      <c r="BD131" s="7">
        <f t="shared" si="144"/>
        <v>68</v>
      </c>
      <c r="BE131" s="7">
        <f t="shared" si="144"/>
        <v>62</v>
      </c>
      <c r="BF131" s="7">
        <f t="shared" si="144"/>
        <v>33</v>
      </c>
      <c r="BG131" s="7">
        <f t="shared" si="144"/>
        <v>24</v>
      </c>
      <c r="BH131" s="7">
        <f t="shared" si="144"/>
        <v>-4</v>
      </c>
      <c r="BI131" s="7">
        <f t="shared" si="144"/>
        <v>-18</v>
      </c>
      <c r="BJ131" s="7">
        <f t="shared" si="144"/>
        <v>-1</v>
      </c>
      <c r="BK131" s="7">
        <f t="shared" si="144"/>
        <v>-26</v>
      </c>
      <c r="BL131" s="7">
        <f t="shared" si="144"/>
        <v>-30</v>
      </c>
      <c r="BM131" s="7">
        <f t="shared" si="144"/>
        <v>-32</v>
      </c>
      <c r="BN131" s="7">
        <f t="shared" si="144"/>
        <v>0</v>
      </c>
      <c r="BO131" s="7">
        <f t="shared" ref="BO131:CZ131" si="145">BP57+BO82</f>
        <v>-15</v>
      </c>
      <c r="BP131" s="7">
        <f t="shared" si="145"/>
        <v>-28</v>
      </c>
      <c r="BQ131" s="7">
        <f t="shared" si="145"/>
        <v>-16</v>
      </c>
      <c r="BR131" s="7">
        <f t="shared" si="145"/>
        <v>-24</v>
      </c>
      <c r="BS131" s="7">
        <f t="shared" si="145"/>
        <v>-6</v>
      </c>
      <c r="BT131" s="7">
        <f t="shared" si="145"/>
        <v>3</v>
      </c>
      <c r="BU131" s="7">
        <f t="shared" si="145"/>
        <v>1</v>
      </c>
      <c r="BV131" s="7">
        <f t="shared" si="145"/>
        <v>-7</v>
      </c>
      <c r="BW131" s="7">
        <f t="shared" si="145"/>
        <v>2</v>
      </c>
      <c r="BX131" s="7">
        <f t="shared" si="145"/>
        <v>-6</v>
      </c>
      <c r="BY131" s="7">
        <f t="shared" si="145"/>
        <v>2</v>
      </c>
      <c r="BZ131" s="7">
        <f t="shared" si="145"/>
        <v>9</v>
      </c>
      <c r="CA131" s="7">
        <f t="shared" si="145"/>
        <v>4</v>
      </c>
      <c r="CB131" s="7">
        <f t="shared" si="145"/>
        <v>2</v>
      </c>
      <c r="CC131" s="7">
        <f t="shared" si="145"/>
        <v>1</v>
      </c>
      <c r="CD131" s="7">
        <f t="shared" si="145"/>
        <v>1</v>
      </c>
      <c r="CE131" s="7">
        <f t="shared" si="145"/>
        <v>4</v>
      </c>
      <c r="CF131" s="7">
        <f t="shared" si="145"/>
        <v>1</v>
      </c>
      <c r="CG131" s="7">
        <f t="shared" si="145"/>
        <v>9</v>
      </c>
      <c r="CH131" s="7">
        <f t="shared" si="145"/>
        <v>9</v>
      </c>
      <c r="CI131" s="7">
        <f t="shared" si="145"/>
        <v>-4</v>
      </c>
      <c r="CJ131" s="7">
        <f t="shared" si="145"/>
        <v>0</v>
      </c>
      <c r="CK131" s="7">
        <f t="shared" si="145"/>
        <v>4</v>
      </c>
      <c r="CL131" s="7">
        <f t="shared" si="145"/>
        <v>3</v>
      </c>
      <c r="CM131" s="7">
        <f t="shared" si="145"/>
        <v>2</v>
      </c>
      <c r="CN131" s="7">
        <f t="shared" si="145"/>
        <v>0</v>
      </c>
      <c r="CO131" s="7">
        <f t="shared" si="145"/>
        <v>2</v>
      </c>
      <c r="CP131" s="7">
        <f t="shared" si="145"/>
        <v>10</v>
      </c>
      <c r="CQ131" s="7">
        <f t="shared" si="145"/>
        <v>-9</v>
      </c>
      <c r="CR131" s="7">
        <f t="shared" si="145"/>
        <v>1</v>
      </c>
      <c r="CS131" s="7">
        <f t="shared" si="145"/>
        <v>-3</v>
      </c>
      <c r="CT131" s="7">
        <f t="shared" si="145"/>
        <v>2</v>
      </c>
      <c r="CU131" s="7">
        <f t="shared" si="145"/>
        <v>2</v>
      </c>
      <c r="CV131" s="7">
        <f t="shared" si="145"/>
        <v>-3</v>
      </c>
      <c r="CW131" s="7">
        <f t="shared" si="145"/>
        <v>-1</v>
      </c>
      <c r="CX131" s="7">
        <f t="shared" si="145"/>
        <v>0</v>
      </c>
      <c r="CY131" s="7">
        <f t="shared" si="145"/>
        <v>-1</v>
      </c>
      <c r="CZ131" s="7">
        <f t="shared" si="145"/>
        <v>0</v>
      </c>
    </row>
    <row r="132" spans="1:104" x14ac:dyDescent="0.3">
      <c r="A132" s="10">
        <v>2007</v>
      </c>
      <c r="C132" s="7">
        <f t="shared" ref="C132:BN132" si="146">D58+C83</f>
        <v>843</v>
      </c>
      <c r="D132" s="7">
        <f t="shared" si="146"/>
        <v>695</v>
      </c>
      <c r="E132" s="7">
        <f t="shared" si="146"/>
        <v>465</v>
      </c>
      <c r="F132" s="7">
        <f t="shared" si="146"/>
        <v>448</v>
      </c>
      <c r="G132" s="7">
        <f t="shared" si="146"/>
        <v>363</v>
      </c>
      <c r="H132" s="7">
        <f t="shared" si="146"/>
        <v>345</v>
      </c>
      <c r="I132" s="7">
        <f t="shared" si="146"/>
        <v>372</v>
      </c>
      <c r="J132" s="7">
        <f t="shared" si="146"/>
        <v>329</v>
      </c>
      <c r="K132" s="7">
        <f t="shared" si="146"/>
        <v>356</v>
      </c>
      <c r="L132" s="7">
        <f t="shared" si="146"/>
        <v>393</v>
      </c>
      <c r="M132" s="7">
        <f t="shared" si="146"/>
        <v>355</v>
      </c>
      <c r="N132" s="7">
        <f t="shared" si="146"/>
        <v>379</v>
      </c>
      <c r="O132" s="7">
        <f t="shared" si="146"/>
        <v>321</v>
      </c>
      <c r="P132" s="7">
        <f t="shared" si="146"/>
        <v>326</v>
      </c>
      <c r="Q132" s="7">
        <f t="shared" si="146"/>
        <v>302</v>
      </c>
      <c r="R132" s="7">
        <f t="shared" si="146"/>
        <v>342</v>
      </c>
      <c r="S132" s="7">
        <f t="shared" si="146"/>
        <v>430</v>
      </c>
      <c r="T132" s="7">
        <f t="shared" si="146"/>
        <v>334</v>
      </c>
      <c r="U132" s="7">
        <f t="shared" si="146"/>
        <v>536</v>
      </c>
      <c r="V132" s="7">
        <f t="shared" si="146"/>
        <v>655</v>
      </c>
      <c r="W132" s="7">
        <f t="shared" si="146"/>
        <v>777</v>
      </c>
      <c r="X132" s="7">
        <f t="shared" si="146"/>
        <v>1066</v>
      </c>
      <c r="Y132" s="7">
        <f t="shared" si="146"/>
        <v>1275</v>
      </c>
      <c r="Z132" s="7">
        <f t="shared" si="146"/>
        <v>1560</v>
      </c>
      <c r="AA132" s="7">
        <f t="shared" si="146"/>
        <v>1667</v>
      </c>
      <c r="AB132" s="7">
        <f t="shared" si="146"/>
        <v>1938</v>
      </c>
      <c r="AC132" s="7">
        <f t="shared" si="146"/>
        <v>1932</v>
      </c>
      <c r="AD132" s="7">
        <f t="shared" si="146"/>
        <v>1813</v>
      </c>
      <c r="AE132" s="7">
        <f t="shared" si="146"/>
        <v>1591</v>
      </c>
      <c r="AF132" s="7">
        <f t="shared" si="146"/>
        <v>1475</v>
      </c>
      <c r="AG132" s="7">
        <f t="shared" si="146"/>
        <v>1374</v>
      </c>
      <c r="AH132" s="7">
        <f t="shared" si="146"/>
        <v>1271</v>
      </c>
      <c r="AI132" s="7">
        <f t="shared" si="146"/>
        <v>1156</v>
      </c>
      <c r="AJ132" s="7">
        <f t="shared" si="146"/>
        <v>1050</v>
      </c>
      <c r="AK132" s="7">
        <f t="shared" si="146"/>
        <v>990</v>
      </c>
      <c r="AL132" s="7">
        <f t="shared" si="146"/>
        <v>943</v>
      </c>
      <c r="AM132" s="7">
        <f t="shared" si="146"/>
        <v>893</v>
      </c>
      <c r="AN132" s="7">
        <f t="shared" si="146"/>
        <v>746</v>
      </c>
      <c r="AO132" s="7">
        <f t="shared" si="146"/>
        <v>724</v>
      </c>
      <c r="AP132" s="7">
        <f t="shared" si="146"/>
        <v>687</v>
      </c>
      <c r="AQ132" s="7">
        <f t="shared" si="146"/>
        <v>604</v>
      </c>
      <c r="AR132" s="7">
        <f t="shared" si="146"/>
        <v>603</v>
      </c>
      <c r="AS132" s="7">
        <f t="shared" si="146"/>
        <v>503</v>
      </c>
      <c r="AT132" s="7">
        <f t="shared" si="146"/>
        <v>558</v>
      </c>
      <c r="AU132" s="7">
        <f t="shared" si="146"/>
        <v>474</v>
      </c>
      <c r="AV132" s="7">
        <f t="shared" si="146"/>
        <v>422</v>
      </c>
      <c r="AW132" s="7">
        <f t="shared" si="146"/>
        <v>417</v>
      </c>
      <c r="AX132" s="7">
        <f t="shared" si="146"/>
        <v>359</v>
      </c>
      <c r="AY132" s="7">
        <f t="shared" si="146"/>
        <v>287</v>
      </c>
      <c r="AZ132" s="7">
        <f t="shared" si="146"/>
        <v>315</v>
      </c>
      <c r="BA132" s="7">
        <f t="shared" si="146"/>
        <v>270</v>
      </c>
      <c r="BB132" s="7">
        <f t="shared" si="146"/>
        <v>212</v>
      </c>
      <c r="BC132" s="7">
        <f t="shared" si="146"/>
        <v>176</v>
      </c>
      <c r="BD132" s="7">
        <f t="shared" si="146"/>
        <v>141</v>
      </c>
      <c r="BE132" s="7">
        <f t="shared" si="146"/>
        <v>114</v>
      </c>
      <c r="BF132" s="7">
        <f t="shared" si="146"/>
        <v>80</v>
      </c>
      <c r="BG132" s="7">
        <f t="shared" si="146"/>
        <v>72</v>
      </c>
      <c r="BH132" s="7">
        <f t="shared" si="146"/>
        <v>42</v>
      </c>
      <c r="BI132" s="7">
        <f t="shared" si="146"/>
        <v>37</v>
      </c>
      <c r="BJ132" s="7">
        <f t="shared" si="146"/>
        <v>25</v>
      </c>
      <c r="BK132" s="7">
        <f t="shared" si="146"/>
        <v>20</v>
      </c>
      <c r="BL132" s="7">
        <f t="shared" si="146"/>
        <v>5</v>
      </c>
      <c r="BM132" s="7">
        <f t="shared" si="146"/>
        <v>-25</v>
      </c>
      <c r="BN132" s="7">
        <f t="shared" si="146"/>
        <v>-23</v>
      </c>
      <c r="BO132" s="7">
        <f t="shared" ref="BO132:CZ132" si="147">BP58+BO83</f>
        <v>-19</v>
      </c>
      <c r="BP132" s="7">
        <f t="shared" si="147"/>
        <v>5</v>
      </c>
      <c r="BQ132" s="7">
        <f t="shared" si="147"/>
        <v>-24</v>
      </c>
      <c r="BR132" s="7">
        <f t="shared" si="147"/>
        <v>-19</v>
      </c>
      <c r="BS132" s="7">
        <f t="shared" si="147"/>
        <v>8</v>
      </c>
      <c r="BT132" s="7">
        <f t="shared" si="147"/>
        <v>-1</v>
      </c>
      <c r="BU132" s="7">
        <f t="shared" si="147"/>
        <v>10</v>
      </c>
      <c r="BV132" s="7">
        <f t="shared" si="147"/>
        <v>1</v>
      </c>
      <c r="BW132" s="7">
        <f t="shared" si="147"/>
        <v>7</v>
      </c>
      <c r="BX132" s="7">
        <f t="shared" si="147"/>
        <v>-10</v>
      </c>
      <c r="BY132" s="7">
        <f t="shared" si="147"/>
        <v>4</v>
      </c>
      <c r="BZ132" s="7">
        <f t="shared" si="147"/>
        <v>3</v>
      </c>
      <c r="CA132" s="7">
        <f t="shared" si="147"/>
        <v>9</v>
      </c>
      <c r="CB132" s="7">
        <f t="shared" si="147"/>
        <v>0</v>
      </c>
      <c r="CC132" s="7">
        <f t="shared" si="147"/>
        <v>0</v>
      </c>
      <c r="CD132" s="7">
        <f t="shared" si="147"/>
        <v>2</v>
      </c>
      <c r="CE132" s="7">
        <f t="shared" si="147"/>
        <v>7</v>
      </c>
      <c r="CF132" s="7">
        <f t="shared" si="147"/>
        <v>-1</v>
      </c>
      <c r="CG132" s="7">
        <f t="shared" si="147"/>
        <v>3</v>
      </c>
      <c r="CH132" s="7">
        <f t="shared" si="147"/>
        <v>3</v>
      </c>
      <c r="CI132" s="7">
        <f t="shared" si="147"/>
        <v>4</v>
      </c>
      <c r="CJ132" s="7">
        <f t="shared" si="147"/>
        <v>2</v>
      </c>
      <c r="CK132" s="7">
        <f t="shared" si="147"/>
        <v>7</v>
      </c>
      <c r="CL132" s="7">
        <f t="shared" si="147"/>
        <v>0</v>
      </c>
      <c r="CM132" s="7">
        <f t="shared" si="147"/>
        <v>5</v>
      </c>
      <c r="CN132" s="7">
        <f t="shared" si="147"/>
        <v>4</v>
      </c>
      <c r="CO132" s="7">
        <f t="shared" si="147"/>
        <v>-4</v>
      </c>
      <c r="CP132" s="7">
        <f t="shared" si="147"/>
        <v>1</v>
      </c>
      <c r="CQ132" s="7">
        <f t="shared" si="147"/>
        <v>-2</v>
      </c>
      <c r="CR132" s="7">
        <f t="shared" si="147"/>
        <v>1</v>
      </c>
      <c r="CS132" s="7">
        <f t="shared" si="147"/>
        <v>3</v>
      </c>
      <c r="CT132" s="7">
        <f t="shared" si="147"/>
        <v>-3</v>
      </c>
      <c r="CU132" s="7">
        <f t="shared" si="147"/>
        <v>0</v>
      </c>
      <c r="CV132" s="7">
        <f t="shared" si="147"/>
        <v>0</v>
      </c>
      <c r="CW132" s="7">
        <f t="shared" si="147"/>
        <v>-3</v>
      </c>
      <c r="CX132" s="7">
        <f t="shared" si="147"/>
        <v>2</v>
      </c>
      <c r="CY132" s="7">
        <f t="shared" si="147"/>
        <v>0</v>
      </c>
      <c r="CZ132" s="7">
        <f t="shared" si="147"/>
        <v>0</v>
      </c>
    </row>
    <row r="133" spans="1:104" x14ac:dyDescent="0.3">
      <c r="A133" s="10">
        <v>2008</v>
      </c>
      <c r="C133" s="7">
        <f t="shared" ref="C133:BN133" si="148">D59+C84</f>
        <v>869</v>
      </c>
      <c r="D133" s="7">
        <f t="shared" si="148"/>
        <v>725</v>
      </c>
      <c r="E133" s="7">
        <f t="shared" si="148"/>
        <v>508</v>
      </c>
      <c r="F133" s="7">
        <f t="shared" si="148"/>
        <v>486</v>
      </c>
      <c r="G133" s="7">
        <f t="shared" si="148"/>
        <v>447</v>
      </c>
      <c r="H133" s="7">
        <f t="shared" si="148"/>
        <v>430</v>
      </c>
      <c r="I133" s="7">
        <f t="shared" si="148"/>
        <v>444</v>
      </c>
      <c r="J133" s="7">
        <f t="shared" si="148"/>
        <v>415</v>
      </c>
      <c r="K133" s="7">
        <f t="shared" si="148"/>
        <v>410</v>
      </c>
      <c r="L133" s="7">
        <f t="shared" si="148"/>
        <v>434</v>
      </c>
      <c r="M133" s="7">
        <f t="shared" si="148"/>
        <v>460</v>
      </c>
      <c r="N133" s="7">
        <f t="shared" si="148"/>
        <v>392</v>
      </c>
      <c r="O133" s="7">
        <f t="shared" si="148"/>
        <v>405</v>
      </c>
      <c r="P133" s="7">
        <f t="shared" si="148"/>
        <v>400</v>
      </c>
      <c r="Q133" s="7">
        <f t="shared" si="148"/>
        <v>372</v>
      </c>
      <c r="R133" s="7">
        <f t="shared" si="148"/>
        <v>414</v>
      </c>
      <c r="S133" s="7">
        <f t="shared" si="148"/>
        <v>409</v>
      </c>
      <c r="T133" s="7">
        <f t="shared" si="148"/>
        <v>444</v>
      </c>
      <c r="U133" s="7">
        <f t="shared" si="148"/>
        <v>656</v>
      </c>
      <c r="V133" s="7">
        <f t="shared" si="148"/>
        <v>685</v>
      </c>
      <c r="W133" s="7">
        <f t="shared" si="148"/>
        <v>901</v>
      </c>
      <c r="X133" s="7">
        <f t="shared" si="148"/>
        <v>1198</v>
      </c>
      <c r="Y133" s="7">
        <f t="shared" si="148"/>
        <v>1459</v>
      </c>
      <c r="Z133" s="7">
        <f t="shared" si="148"/>
        <v>1668</v>
      </c>
      <c r="AA133" s="7">
        <f t="shared" si="148"/>
        <v>1949</v>
      </c>
      <c r="AB133" s="7">
        <f t="shared" si="148"/>
        <v>2060</v>
      </c>
      <c r="AC133" s="7">
        <f t="shared" si="148"/>
        <v>1976</v>
      </c>
      <c r="AD133" s="7">
        <f t="shared" si="148"/>
        <v>2047</v>
      </c>
      <c r="AE133" s="7">
        <f t="shared" si="148"/>
        <v>1865</v>
      </c>
      <c r="AF133" s="7">
        <f t="shared" si="148"/>
        <v>1671</v>
      </c>
      <c r="AG133" s="7">
        <f t="shared" si="148"/>
        <v>1394</v>
      </c>
      <c r="AH133" s="7">
        <f t="shared" si="148"/>
        <v>1373</v>
      </c>
      <c r="AI133" s="7">
        <f t="shared" si="148"/>
        <v>1185</v>
      </c>
      <c r="AJ133" s="7">
        <f t="shared" si="148"/>
        <v>1153</v>
      </c>
      <c r="AK133" s="7">
        <f t="shared" si="148"/>
        <v>1089</v>
      </c>
      <c r="AL133" s="7">
        <f t="shared" si="148"/>
        <v>981</v>
      </c>
      <c r="AM133" s="7">
        <f t="shared" si="148"/>
        <v>963</v>
      </c>
      <c r="AN133" s="7">
        <f t="shared" si="148"/>
        <v>845</v>
      </c>
      <c r="AO133" s="7">
        <f t="shared" si="148"/>
        <v>735</v>
      </c>
      <c r="AP133" s="7">
        <f t="shared" si="148"/>
        <v>745</v>
      </c>
      <c r="AQ133" s="7">
        <f t="shared" si="148"/>
        <v>685</v>
      </c>
      <c r="AR133" s="7">
        <f t="shared" si="148"/>
        <v>609</v>
      </c>
      <c r="AS133" s="7">
        <f t="shared" si="148"/>
        <v>552</v>
      </c>
      <c r="AT133" s="7">
        <f t="shared" si="148"/>
        <v>526</v>
      </c>
      <c r="AU133" s="7">
        <f t="shared" si="148"/>
        <v>517</v>
      </c>
      <c r="AV133" s="7">
        <f t="shared" si="148"/>
        <v>463</v>
      </c>
      <c r="AW133" s="7">
        <f t="shared" si="148"/>
        <v>397</v>
      </c>
      <c r="AX133" s="7">
        <f t="shared" si="148"/>
        <v>378</v>
      </c>
      <c r="AY133" s="7">
        <f t="shared" si="148"/>
        <v>355</v>
      </c>
      <c r="AZ133" s="7">
        <f t="shared" si="148"/>
        <v>322</v>
      </c>
      <c r="BA133" s="7">
        <f t="shared" si="148"/>
        <v>247</v>
      </c>
      <c r="BB133" s="7">
        <f t="shared" si="148"/>
        <v>186</v>
      </c>
      <c r="BC133" s="7">
        <f t="shared" si="148"/>
        <v>216</v>
      </c>
      <c r="BD133" s="7">
        <f t="shared" si="148"/>
        <v>145</v>
      </c>
      <c r="BE133" s="7">
        <f t="shared" si="148"/>
        <v>114</v>
      </c>
      <c r="BF133" s="7">
        <f t="shared" si="148"/>
        <v>94</v>
      </c>
      <c r="BG133" s="7">
        <f t="shared" si="148"/>
        <v>79</v>
      </c>
      <c r="BH133" s="7">
        <f t="shared" si="148"/>
        <v>2</v>
      </c>
      <c r="BI133" s="7">
        <f t="shared" si="148"/>
        <v>50</v>
      </c>
      <c r="BJ133" s="7">
        <f t="shared" si="148"/>
        <v>3</v>
      </c>
      <c r="BK133" s="7">
        <f t="shared" si="148"/>
        <v>25</v>
      </c>
      <c r="BL133" s="7">
        <f t="shared" si="148"/>
        <v>-35</v>
      </c>
      <c r="BM133" s="7">
        <f t="shared" si="148"/>
        <v>-45</v>
      </c>
      <c r="BN133" s="7">
        <f t="shared" si="148"/>
        <v>4</v>
      </c>
      <c r="BO133" s="7">
        <f t="shared" ref="BO133:CZ133" si="149">BP59+BO84</f>
        <v>-7</v>
      </c>
      <c r="BP133" s="7">
        <f t="shared" si="149"/>
        <v>-22</v>
      </c>
      <c r="BQ133" s="7">
        <f t="shared" si="149"/>
        <v>-5</v>
      </c>
      <c r="BR133" s="7">
        <f t="shared" si="149"/>
        <v>-19</v>
      </c>
      <c r="BS133" s="7">
        <f t="shared" si="149"/>
        <v>2</v>
      </c>
      <c r="BT133" s="7">
        <f t="shared" si="149"/>
        <v>19</v>
      </c>
      <c r="BU133" s="7">
        <f t="shared" si="149"/>
        <v>10</v>
      </c>
      <c r="BV133" s="7">
        <f t="shared" si="149"/>
        <v>11</v>
      </c>
      <c r="BW133" s="7">
        <f t="shared" si="149"/>
        <v>-11</v>
      </c>
      <c r="BX133" s="7">
        <f t="shared" si="149"/>
        <v>12</v>
      </c>
      <c r="BY133" s="7">
        <f t="shared" si="149"/>
        <v>4</v>
      </c>
      <c r="BZ133" s="7">
        <f t="shared" si="149"/>
        <v>18</v>
      </c>
      <c r="CA133" s="7">
        <f t="shared" si="149"/>
        <v>10</v>
      </c>
      <c r="CB133" s="7">
        <f t="shared" si="149"/>
        <v>-7</v>
      </c>
      <c r="CC133" s="7">
        <f t="shared" si="149"/>
        <v>-2</v>
      </c>
      <c r="CD133" s="7">
        <f t="shared" si="149"/>
        <v>3</v>
      </c>
      <c r="CE133" s="7">
        <f t="shared" si="149"/>
        <v>-1</v>
      </c>
      <c r="CF133" s="7">
        <f t="shared" si="149"/>
        <v>2</v>
      </c>
      <c r="CG133" s="7">
        <f t="shared" si="149"/>
        <v>9</v>
      </c>
      <c r="CH133" s="7">
        <f t="shared" si="149"/>
        <v>0</v>
      </c>
      <c r="CI133" s="7">
        <f t="shared" si="149"/>
        <v>-5</v>
      </c>
      <c r="CJ133" s="7">
        <f t="shared" si="149"/>
        <v>7</v>
      </c>
      <c r="CK133" s="7">
        <f t="shared" si="149"/>
        <v>3</v>
      </c>
      <c r="CL133" s="7">
        <f t="shared" si="149"/>
        <v>-5</v>
      </c>
      <c r="CM133" s="7">
        <f t="shared" si="149"/>
        <v>1</v>
      </c>
      <c r="CN133" s="7">
        <f t="shared" si="149"/>
        <v>0</v>
      </c>
      <c r="CO133" s="7">
        <f t="shared" si="149"/>
        <v>-5</v>
      </c>
      <c r="CP133" s="7">
        <f t="shared" si="149"/>
        <v>4</v>
      </c>
      <c r="CQ133" s="7">
        <f t="shared" si="149"/>
        <v>3</v>
      </c>
      <c r="CR133" s="7">
        <f t="shared" si="149"/>
        <v>-2</v>
      </c>
      <c r="CS133" s="7">
        <f t="shared" si="149"/>
        <v>-2</v>
      </c>
      <c r="CT133" s="7">
        <f t="shared" si="149"/>
        <v>0</v>
      </c>
      <c r="CU133" s="7">
        <f t="shared" si="149"/>
        <v>0</v>
      </c>
      <c r="CV133" s="7">
        <f t="shared" si="149"/>
        <v>-1</v>
      </c>
      <c r="CW133" s="7">
        <f t="shared" si="149"/>
        <v>-1</v>
      </c>
      <c r="CX133" s="7">
        <f t="shared" si="149"/>
        <v>2</v>
      </c>
      <c r="CY133" s="7">
        <f t="shared" si="149"/>
        <v>-1</v>
      </c>
      <c r="CZ133" s="7">
        <f t="shared" si="149"/>
        <v>0</v>
      </c>
    </row>
    <row r="134" spans="1:104" x14ac:dyDescent="0.3">
      <c r="A134" s="10">
        <v>2009</v>
      </c>
      <c r="C134" s="7">
        <f t="shared" ref="C134:BN134" si="150">D60+C85</f>
        <v>923</v>
      </c>
      <c r="D134" s="7">
        <f t="shared" si="150"/>
        <v>692</v>
      </c>
      <c r="E134" s="7">
        <f t="shared" si="150"/>
        <v>566</v>
      </c>
      <c r="F134" s="7">
        <f t="shared" si="150"/>
        <v>467</v>
      </c>
      <c r="G134" s="7">
        <f t="shared" si="150"/>
        <v>495</v>
      </c>
      <c r="H134" s="7">
        <f t="shared" si="150"/>
        <v>365</v>
      </c>
      <c r="I134" s="7">
        <f t="shared" si="150"/>
        <v>395</v>
      </c>
      <c r="J134" s="7">
        <f t="shared" si="150"/>
        <v>393</v>
      </c>
      <c r="K134" s="7">
        <f t="shared" si="150"/>
        <v>417</v>
      </c>
      <c r="L134" s="7">
        <f t="shared" si="150"/>
        <v>425</v>
      </c>
      <c r="M134" s="7">
        <f t="shared" si="150"/>
        <v>410</v>
      </c>
      <c r="N134" s="7">
        <f t="shared" si="150"/>
        <v>409</v>
      </c>
      <c r="O134" s="7">
        <f t="shared" si="150"/>
        <v>405</v>
      </c>
      <c r="P134" s="7">
        <f t="shared" si="150"/>
        <v>422</v>
      </c>
      <c r="Q134" s="7">
        <f t="shared" si="150"/>
        <v>412</v>
      </c>
      <c r="R134" s="7">
        <f t="shared" si="150"/>
        <v>534</v>
      </c>
      <c r="S134" s="7">
        <f t="shared" si="150"/>
        <v>653</v>
      </c>
      <c r="T134" s="7">
        <f t="shared" si="150"/>
        <v>616</v>
      </c>
      <c r="U134" s="7">
        <f t="shared" si="150"/>
        <v>693</v>
      </c>
      <c r="V134" s="7">
        <f t="shared" si="150"/>
        <v>642</v>
      </c>
      <c r="W134" s="7">
        <f t="shared" si="150"/>
        <v>900</v>
      </c>
      <c r="X134" s="7">
        <f t="shared" si="150"/>
        <v>1039</v>
      </c>
      <c r="Y134" s="7">
        <f t="shared" si="150"/>
        <v>1382</v>
      </c>
      <c r="Z134" s="7">
        <f t="shared" si="150"/>
        <v>1594</v>
      </c>
      <c r="AA134" s="7">
        <f t="shared" si="150"/>
        <v>1900</v>
      </c>
      <c r="AB134" s="7">
        <f t="shared" si="150"/>
        <v>1936</v>
      </c>
      <c r="AC134" s="7">
        <f t="shared" si="150"/>
        <v>1768</v>
      </c>
      <c r="AD134" s="7">
        <f t="shared" si="150"/>
        <v>1568</v>
      </c>
      <c r="AE134" s="7">
        <f t="shared" si="150"/>
        <v>1584</v>
      </c>
      <c r="AF134" s="7">
        <f t="shared" si="150"/>
        <v>1297</v>
      </c>
      <c r="AG134" s="7">
        <f t="shared" si="150"/>
        <v>1220</v>
      </c>
      <c r="AH134" s="7">
        <f t="shared" si="150"/>
        <v>1012</v>
      </c>
      <c r="AI134" s="7">
        <f t="shared" si="150"/>
        <v>895</v>
      </c>
      <c r="AJ134" s="7">
        <f t="shared" si="150"/>
        <v>945</v>
      </c>
      <c r="AK134" s="7">
        <f t="shared" si="150"/>
        <v>818</v>
      </c>
      <c r="AL134" s="7">
        <f t="shared" si="150"/>
        <v>730</v>
      </c>
      <c r="AM134" s="7">
        <f t="shared" si="150"/>
        <v>671</v>
      </c>
      <c r="AN134" s="7">
        <f t="shared" si="150"/>
        <v>603</v>
      </c>
      <c r="AO134" s="7">
        <f t="shared" si="150"/>
        <v>651</v>
      </c>
      <c r="AP134" s="7">
        <f t="shared" si="150"/>
        <v>514</v>
      </c>
      <c r="AQ134" s="7">
        <f t="shared" si="150"/>
        <v>492</v>
      </c>
      <c r="AR134" s="7">
        <f t="shared" si="150"/>
        <v>491</v>
      </c>
      <c r="AS134" s="7">
        <f t="shared" si="150"/>
        <v>438</v>
      </c>
      <c r="AT134" s="7">
        <f t="shared" si="150"/>
        <v>408</v>
      </c>
      <c r="AU134" s="7">
        <f t="shared" si="150"/>
        <v>398</v>
      </c>
      <c r="AV134" s="7">
        <f t="shared" si="150"/>
        <v>309</v>
      </c>
      <c r="AW134" s="7">
        <f t="shared" si="150"/>
        <v>295</v>
      </c>
      <c r="AX134" s="7">
        <f t="shared" si="150"/>
        <v>264</v>
      </c>
      <c r="AY134" s="7">
        <f t="shared" si="150"/>
        <v>202</v>
      </c>
      <c r="AZ134" s="7">
        <f t="shared" si="150"/>
        <v>256</v>
      </c>
      <c r="BA134" s="7">
        <f t="shared" si="150"/>
        <v>201</v>
      </c>
      <c r="BB134" s="7">
        <f t="shared" si="150"/>
        <v>130</v>
      </c>
      <c r="BC134" s="7">
        <f t="shared" si="150"/>
        <v>136</v>
      </c>
      <c r="BD134" s="7">
        <f t="shared" si="150"/>
        <v>112</v>
      </c>
      <c r="BE134" s="7">
        <f t="shared" si="150"/>
        <v>117</v>
      </c>
      <c r="BF134" s="7">
        <f t="shared" si="150"/>
        <v>50</v>
      </c>
      <c r="BG134" s="7">
        <f t="shared" si="150"/>
        <v>94</v>
      </c>
      <c r="BH134" s="7">
        <f t="shared" si="150"/>
        <v>37</v>
      </c>
      <c r="BI134" s="7">
        <f t="shared" si="150"/>
        <v>94</v>
      </c>
      <c r="BJ134" s="7">
        <f t="shared" si="150"/>
        <v>81</v>
      </c>
      <c r="BK134" s="7">
        <f t="shared" si="150"/>
        <v>16</v>
      </c>
      <c r="BL134" s="7">
        <f t="shared" si="150"/>
        <v>23</v>
      </c>
      <c r="BM134" s="7">
        <f t="shared" si="150"/>
        <v>-24</v>
      </c>
      <c r="BN134" s="7">
        <f t="shared" si="150"/>
        <v>-2</v>
      </c>
      <c r="BO134" s="7">
        <f t="shared" ref="BO134:CZ134" si="151">BP60+BO85</f>
        <v>-11</v>
      </c>
      <c r="BP134" s="7">
        <f t="shared" si="151"/>
        <v>3</v>
      </c>
      <c r="BQ134" s="7">
        <f t="shared" si="151"/>
        <v>-2</v>
      </c>
      <c r="BR134" s="7">
        <f t="shared" si="151"/>
        <v>-9</v>
      </c>
      <c r="BS134" s="7">
        <f t="shared" si="151"/>
        <v>-5</v>
      </c>
      <c r="BT134" s="7">
        <f t="shared" si="151"/>
        <v>17</v>
      </c>
      <c r="BU134" s="7">
        <f t="shared" si="151"/>
        <v>15</v>
      </c>
      <c r="BV134" s="7">
        <f t="shared" si="151"/>
        <v>27</v>
      </c>
      <c r="BW134" s="7">
        <f t="shared" si="151"/>
        <v>35</v>
      </c>
      <c r="BX134" s="7">
        <f t="shared" si="151"/>
        <v>27</v>
      </c>
      <c r="BY134" s="7">
        <f t="shared" si="151"/>
        <v>7</v>
      </c>
      <c r="BZ134" s="7">
        <f t="shared" si="151"/>
        <v>13</v>
      </c>
      <c r="CA134" s="7">
        <f t="shared" si="151"/>
        <v>14</v>
      </c>
      <c r="CB134" s="7">
        <f t="shared" si="151"/>
        <v>20</v>
      </c>
      <c r="CC134" s="7">
        <f t="shared" si="151"/>
        <v>8</v>
      </c>
      <c r="CD134" s="7">
        <f t="shared" si="151"/>
        <v>6</v>
      </c>
      <c r="CE134" s="7">
        <f t="shared" si="151"/>
        <v>11</v>
      </c>
      <c r="CF134" s="7">
        <f t="shared" si="151"/>
        <v>5</v>
      </c>
      <c r="CG134" s="7">
        <f t="shared" si="151"/>
        <v>5</v>
      </c>
      <c r="CH134" s="7">
        <f t="shared" si="151"/>
        <v>8</v>
      </c>
      <c r="CI134" s="7">
        <f t="shared" si="151"/>
        <v>-7</v>
      </c>
      <c r="CJ134" s="7">
        <f t="shared" si="151"/>
        <v>10</v>
      </c>
      <c r="CK134" s="7">
        <f t="shared" si="151"/>
        <v>-6</v>
      </c>
      <c r="CL134" s="7">
        <f t="shared" si="151"/>
        <v>6</v>
      </c>
      <c r="CM134" s="7">
        <f t="shared" si="151"/>
        <v>12</v>
      </c>
      <c r="CN134" s="7">
        <f t="shared" si="151"/>
        <v>0</v>
      </c>
      <c r="CO134" s="7">
        <f t="shared" si="151"/>
        <v>-1</v>
      </c>
      <c r="CP134" s="7">
        <f t="shared" si="151"/>
        <v>-1</v>
      </c>
      <c r="CQ134" s="7">
        <f t="shared" si="151"/>
        <v>2</v>
      </c>
      <c r="CR134" s="7">
        <f t="shared" si="151"/>
        <v>-4</v>
      </c>
      <c r="CS134" s="7">
        <f t="shared" si="151"/>
        <v>4</v>
      </c>
      <c r="CT134" s="7">
        <f t="shared" si="151"/>
        <v>-4</v>
      </c>
      <c r="CU134" s="7">
        <f t="shared" si="151"/>
        <v>1</v>
      </c>
      <c r="CV134" s="7">
        <f t="shared" si="151"/>
        <v>-2</v>
      </c>
      <c r="CW134" s="7">
        <f t="shared" si="151"/>
        <v>0</v>
      </c>
      <c r="CX134" s="7">
        <f t="shared" si="151"/>
        <v>1</v>
      </c>
      <c r="CY134" s="7">
        <f t="shared" si="151"/>
        <v>-1</v>
      </c>
      <c r="CZ134" s="7">
        <f t="shared" si="151"/>
        <v>0</v>
      </c>
    </row>
    <row r="135" spans="1:104" x14ac:dyDescent="0.3">
      <c r="A135" s="10">
        <v>2010</v>
      </c>
      <c r="C135" s="7">
        <f t="shared" ref="C135:BN135" si="152">D61+C86</f>
        <v>931</v>
      </c>
      <c r="D135" s="7">
        <f t="shared" si="152"/>
        <v>712</v>
      </c>
      <c r="E135" s="7">
        <f t="shared" si="152"/>
        <v>622</v>
      </c>
      <c r="F135" s="7">
        <f t="shared" si="152"/>
        <v>381</v>
      </c>
      <c r="G135" s="7">
        <f t="shared" si="152"/>
        <v>405</v>
      </c>
      <c r="H135" s="7">
        <f t="shared" si="152"/>
        <v>366</v>
      </c>
      <c r="I135" s="7">
        <f t="shared" si="152"/>
        <v>347</v>
      </c>
      <c r="J135" s="7">
        <f t="shared" si="152"/>
        <v>367</v>
      </c>
      <c r="K135" s="7">
        <f t="shared" si="152"/>
        <v>347</v>
      </c>
      <c r="L135" s="7">
        <f t="shared" si="152"/>
        <v>373</v>
      </c>
      <c r="M135" s="7">
        <f t="shared" si="152"/>
        <v>399</v>
      </c>
      <c r="N135" s="7">
        <f t="shared" si="152"/>
        <v>379</v>
      </c>
      <c r="O135" s="7">
        <f t="shared" si="152"/>
        <v>366</v>
      </c>
      <c r="P135" s="7">
        <f t="shared" si="152"/>
        <v>405</v>
      </c>
      <c r="Q135" s="7">
        <f t="shared" si="152"/>
        <v>363</v>
      </c>
      <c r="R135" s="7">
        <f t="shared" si="152"/>
        <v>531</v>
      </c>
      <c r="S135" s="7">
        <f t="shared" si="152"/>
        <v>798</v>
      </c>
      <c r="T135" s="7">
        <f t="shared" si="152"/>
        <v>639</v>
      </c>
      <c r="U135" s="7">
        <f t="shared" si="152"/>
        <v>801</v>
      </c>
      <c r="V135" s="7">
        <f t="shared" si="152"/>
        <v>994</v>
      </c>
      <c r="W135" s="7">
        <f t="shared" si="152"/>
        <v>1259</v>
      </c>
      <c r="X135" s="7">
        <f t="shared" si="152"/>
        <v>1497</v>
      </c>
      <c r="Y135" s="7">
        <f t="shared" si="152"/>
        <v>1808</v>
      </c>
      <c r="Z135" s="7">
        <f t="shared" si="152"/>
        <v>2059</v>
      </c>
      <c r="AA135" s="7">
        <f t="shared" si="152"/>
        <v>2117</v>
      </c>
      <c r="AB135" s="7">
        <f t="shared" si="152"/>
        <v>2174</v>
      </c>
      <c r="AC135" s="7">
        <f t="shared" si="152"/>
        <v>2058</v>
      </c>
      <c r="AD135" s="7">
        <f t="shared" si="152"/>
        <v>1922</v>
      </c>
      <c r="AE135" s="7">
        <f t="shared" si="152"/>
        <v>1616</v>
      </c>
      <c r="AF135" s="7">
        <f t="shared" si="152"/>
        <v>1477</v>
      </c>
      <c r="AG135" s="7">
        <f t="shared" si="152"/>
        <v>1140</v>
      </c>
      <c r="AH135" s="7">
        <f t="shared" si="152"/>
        <v>1119</v>
      </c>
      <c r="AI135" s="7">
        <f t="shared" si="152"/>
        <v>1149</v>
      </c>
      <c r="AJ135" s="7">
        <f t="shared" si="152"/>
        <v>964</v>
      </c>
      <c r="AK135" s="7">
        <f t="shared" si="152"/>
        <v>827</v>
      </c>
      <c r="AL135" s="7">
        <f t="shared" si="152"/>
        <v>854</v>
      </c>
      <c r="AM135" s="7">
        <f t="shared" si="152"/>
        <v>675</v>
      </c>
      <c r="AN135" s="7">
        <f t="shared" si="152"/>
        <v>641</v>
      </c>
      <c r="AO135" s="7">
        <f t="shared" si="152"/>
        <v>569</v>
      </c>
      <c r="AP135" s="7">
        <f t="shared" si="152"/>
        <v>542</v>
      </c>
      <c r="AQ135" s="7">
        <f t="shared" si="152"/>
        <v>527</v>
      </c>
      <c r="AR135" s="7">
        <f t="shared" si="152"/>
        <v>509</v>
      </c>
      <c r="AS135" s="7">
        <f t="shared" si="152"/>
        <v>428</v>
      </c>
      <c r="AT135" s="7">
        <f t="shared" si="152"/>
        <v>397</v>
      </c>
      <c r="AU135" s="7">
        <f t="shared" si="152"/>
        <v>353</v>
      </c>
      <c r="AV135" s="7">
        <f t="shared" si="152"/>
        <v>384</v>
      </c>
      <c r="AW135" s="7">
        <f t="shared" si="152"/>
        <v>317</v>
      </c>
      <c r="AX135" s="7">
        <f t="shared" si="152"/>
        <v>295</v>
      </c>
      <c r="AY135" s="7">
        <f t="shared" si="152"/>
        <v>177</v>
      </c>
      <c r="AZ135" s="7">
        <f t="shared" si="152"/>
        <v>234</v>
      </c>
      <c r="BA135" s="7">
        <f t="shared" si="152"/>
        <v>177</v>
      </c>
      <c r="BB135" s="7">
        <f t="shared" si="152"/>
        <v>195</v>
      </c>
      <c r="BC135" s="7">
        <f t="shared" si="152"/>
        <v>150</v>
      </c>
      <c r="BD135" s="7">
        <f t="shared" si="152"/>
        <v>124</v>
      </c>
      <c r="BE135" s="7">
        <f t="shared" si="152"/>
        <v>87</v>
      </c>
      <c r="BF135" s="7">
        <f t="shared" si="152"/>
        <v>107</v>
      </c>
      <c r="BG135" s="7">
        <f t="shared" si="152"/>
        <v>55</v>
      </c>
      <c r="BH135" s="7">
        <f t="shared" si="152"/>
        <v>50</v>
      </c>
      <c r="BI135" s="7">
        <f t="shared" si="152"/>
        <v>42</v>
      </c>
      <c r="BJ135" s="7">
        <f t="shared" si="152"/>
        <v>45</v>
      </c>
      <c r="BK135" s="7">
        <f t="shared" si="152"/>
        <v>16</v>
      </c>
      <c r="BL135" s="7">
        <f t="shared" si="152"/>
        <v>12</v>
      </c>
      <c r="BM135" s="7">
        <f t="shared" si="152"/>
        <v>-10</v>
      </c>
      <c r="BN135" s="7">
        <f t="shared" si="152"/>
        <v>33</v>
      </c>
      <c r="BO135" s="7">
        <f t="shared" ref="BO135:CZ135" si="153">BP61+BO86</f>
        <v>18</v>
      </c>
      <c r="BP135" s="7">
        <f t="shared" si="153"/>
        <v>6</v>
      </c>
      <c r="BQ135" s="7">
        <f t="shared" si="153"/>
        <v>-12</v>
      </c>
      <c r="BR135" s="7">
        <f t="shared" si="153"/>
        <v>-20</v>
      </c>
      <c r="BS135" s="7">
        <f t="shared" si="153"/>
        <v>3</v>
      </c>
      <c r="BT135" s="7">
        <f t="shared" si="153"/>
        <v>30</v>
      </c>
      <c r="BU135" s="7">
        <f t="shared" si="153"/>
        <v>-2</v>
      </c>
      <c r="BV135" s="7">
        <f t="shared" si="153"/>
        <v>13</v>
      </c>
      <c r="BW135" s="7">
        <f t="shared" si="153"/>
        <v>0</v>
      </c>
      <c r="BX135" s="7">
        <f t="shared" si="153"/>
        <v>2</v>
      </c>
      <c r="BY135" s="7">
        <f t="shared" si="153"/>
        <v>11</v>
      </c>
      <c r="BZ135" s="7">
        <f t="shared" si="153"/>
        <v>-3</v>
      </c>
      <c r="CA135" s="7">
        <f t="shared" si="153"/>
        <v>11</v>
      </c>
      <c r="CB135" s="7">
        <f t="shared" si="153"/>
        <v>8</v>
      </c>
      <c r="CC135" s="7">
        <f t="shared" si="153"/>
        <v>8</v>
      </c>
      <c r="CD135" s="7">
        <f t="shared" si="153"/>
        <v>5</v>
      </c>
      <c r="CE135" s="7">
        <f t="shared" si="153"/>
        <v>18</v>
      </c>
      <c r="CF135" s="7">
        <f t="shared" si="153"/>
        <v>3</v>
      </c>
      <c r="CG135" s="7">
        <f t="shared" si="153"/>
        <v>3</v>
      </c>
      <c r="CH135" s="7">
        <f t="shared" si="153"/>
        <v>-2</v>
      </c>
      <c r="CI135" s="7">
        <f t="shared" si="153"/>
        <v>8</v>
      </c>
      <c r="CJ135" s="7">
        <f t="shared" si="153"/>
        <v>7</v>
      </c>
      <c r="CK135" s="7">
        <f t="shared" si="153"/>
        <v>1</v>
      </c>
      <c r="CL135" s="7">
        <f t="shared" si="153"/>
        <v>-1</v>
      </c>
      <c r="CM135" s="7">
        <f t="shared" si="153"/>
        <v>5</v>
      </c>
      <c r="CN135" s="7">
        <f t="shared" si="153"/>
        <v>1</v>
      </c>
      <c r="CO135" s="7">
        <f t="shared" si="153"/>
        <v>2</v>
      </c>
      <c r="CP135" s="7">
        <f t="shared" si="153"/>
        <v>-1</v>
      </c>
      <c r="CQ135" s="7">
        <f t="shared" si="153"/>
        <v>3</v>
      </c>
      <c r="CR135" s="7">
        <f t="shared" si="153"/>
        <v>1</v>
      </c>
      <c r="CS135" s="7">
        <f t="shared" si="153"/>
        <v>-2</v>
      </c>
      <c r="CT135" s="7">
        <f t="shared" si="153"/>
        <v>-1</v>
      </c>
      <c r="CU135" s="7">
        <f t="shared" si="153"/>
        <v>0</v>
      </c>
      <c r="CV135" s="7">
        <f t="shared" si="153"/>
        <v>0</v>
      </c>
      <c r="CW135" s="7">
        <f t="shared" si="153"/>
        <v>0</v>
      </c>
      <c r="CX135" s="7">
        <f t="shared" si="153"/>
        <v>0</v>
      </c>
      <c r="CY135" s="7">
        <f t="shared" si="153"/>
        <v>0</v>
      </c>
      <c r="CZ135" s="7">
        <f t="shared" si="153"/>
        <v>0</v>
      </c>
    </row>
    <row r="136" spans="1:104" x14ac:dyDescent="0.3">
      <c r="A136" s="10">
        <v>2011</v>
      </c>
      <c r="C136" s="7">
        <f t="shared" ref="C136:BN136" si="154">D62+C87</f>
        <v>899</v>
      </c>
      <c r="D136" s="7">
        <f t="shared" si="154"/>
        <v>760</v>
      </c>
      <c r="E136" s="7">
        <f t="shared" si="154"/>
        <v>551</v>
      </c>
      <c r="F136" s="7">
        <f t="shared" si="154"/>
        <v>496</v>
      </c>
      <c r="G136" s="7">
        <f t="shared" si="154"/>
        <v>499</v>
      </c>
      <c r="H136" s="7">
        <f t="shared" si="154"/>
        <v>375</v>
      </c>
      <c r="I136" s="7">
        <f t="shared" si="154"/>
        <v>407</v>
      </c>
      <c r="J136" s="7">
        <f t="shared" si="154"/>
        <v>323</v>
      </c>
      <c r="K136" s="7">
        <f t="shared" si="154"/>
        <v>304</v>
      </c>
      <c r="L136" s="7">
        <f t="shared" si="154"/>
        <v>338</v>
      </c>
      <c r="M136" s="7">
        <f t="shared" si="154"/>
        <v>366</v>
      </c>
      <c r="N136" s="7">
        <f t="shared" si="154"/>
        <v>355</v>
      </c>
      <c r="O136" s="7">
        <f t="shared" si="154"/>
        <v>341</v>
      </c>
      <c r="P136" s="7">
        <f t="shared" si="154"/>
        <v>407</v>
      </c>
      <c r="Q136" s="7">
        <f t="shared" si="154"/>
        <v>368</v>
      </c>
      <c r="R136" s="7">
        <f t="shared" si="154"/>
        <v>474</v>
      </c>
      <c r="S136" s="7">
        <f t="shared" si="154"/>
        <v>501</v>
      </c>
      <c r="T136" s="7">
        <f t="shared" si="154"/>
        <v>551</v>
      </c>
      <c r="U136" s="7">
        <f t="shared" si="154"/>
        <v>661</v>
      </c>
      <c r="V136" s="7">
        <f t="shared" si="154"/>
        <v>829</v>
      </c>
      <c r="W136" s="7">
        <f t="shared" si="154"/>
        <v>1126</v>
      </c>
      <c r="X136" s="7">
        <f t="shared" si="154"/>
        <v>1546</v>
      </c>
      <c r="Y136" s="7">
        <f t="shared" si="154"/>
        <v>1848</v>
      </c>
      <c r="Z136" s="7">
        <f t="shared" si="154"/>
        <v>2121</v>
      </c>
      <c r="AA136" s="7">
        <f t="shared" si="154"/>
        <v>2423</v>
      </c>
      <c r="AB136" s="7">
        <f t="shared" si="154"/>
        <v>2328</v>
      </c>
      <c r="AC136" s="7">
        <f t="shared" si="154"/>
        <v>2217</v>
      </c>
      <c r="AD136" s="7">
        <f t="shared" si="154"/>
        <v>2115</v>
      </c>
      <c r="AE136" s="7">
        <f t="shared" si="154"/>
        <v>1848</v>
      </c>
      <c r="AF136" s="7">
        <f t="shared" si="154"/>
        <v>1647</v>
      </c>
      <c r="AG136" s="7">
        <f t="shared" si="154"/>
        <v>1525</v>
      </c>
      <c r="AH136" s="7">
        <f t="shared" si="154"/>
        <v>1438</v>
      </c>
      <c r="AI136" s="7">
        <f t="shared" si="154"/>
        <v>1272</v>
      </c>
      <c r="AJ136" s="7">
        <f t="shared" si="154"/>
        <v>1232</v>
      </c>
      <c r="AK136" s="7">
        <f t="shared" si="154"/>
        <v>1142</v>
      </c>
      <c r="AL136" s="7">
        <f t="shared" si="154"/>
        <v>1045</v>
      </c>
      <c r="AM136" s="7">
        <f t="shared" si="154"/>
        <v>926</v>
      </c>
      <c r="AN136" s="7">
        <f t="shared" si="154"/>
        <v>869</v>
      </c>
      <c r="AO136" s="7">
        <f t="shared" si="154"/>
        <v>858</v>
      </c>
      <c r="AP136" s="7">
        <f t="shared" si="154"/>
        <v>701</v>
      </c>
      <c r="AQ136" s="7">
        <f t="shared" si="154"/>
        <v>738</v>
      </c>
      <c r="AR136" s="7">
        <f t="shared" si="154"/>
        <v>648</v>
      </c>
      <c r="AS136" s="7">
        <f t="shared" si="154"/>
        <v>575</v>
      </c>
      <c r="AT136" s="7">
        <f t="shared" si="154"/>
        <v>546</v>
      </c>
      <c r="AU136" s="7">
        <f t="shared" si="154"/>
        <v>419</v>
      </c>
      <c r="AV136" s="7">
        <f t="shared" si="154"/>
        <v>506</v>
      </c>
      <c r="AW136" s="7">
        <f t="shared" si="154"/>
        <v>386</v>
      </c>
      <c r="AX136" s="7">
        <f t="shared" si="154"/>
        <v>362</v>
      </c>
      <c r="AY136" s="7">
        <f t="shared" si="154"/>
        <v>365</v>
      </c>
      <c r="AZ136" s="7">
        <f t="shared" si="154"/>
        <v>324</v>
      </c>
      <c r="BA136" s="7">
        <f t="shared" si="154"/>
        <v>253</v>
      </c>
      <c r="BB136" s="7">
        <f t="shared" si="154"/>
        <v>240</v>
      </c>
      <c r="BC136" s="7">
        <f t="shared" si="154"/>
        <v>227</v>
      </c>
      <c r="BD136" s="7">
        <f t="shared" si="154"/>
        <v>179</v>
      </c>
      <c r="BE136" s="7">
        <f t="shared" si="154"/>
        <v>181</v>
      </c>
      <c r="BF136" s="7">
        <f t="shared" si="154"/>
        <v>144</v>
      </c>
      <c r="BG136" s="7">
        <f t="shared" si="154"/>
        <v>78</v>
      </c>
      <c r="BH136" s="7">
        <f t="shared" si="154"/>
        <v>80</v>
      </c>
      <c r="BI136" s="7">
        <f t="shared" si="154"/>
        <v>35</v>
      </c>
      <c r="BJ136" s="7">
        <f t="shared" si="154"/>
        <v>49</v>
      </c>
      <c r="BK136" s="7">
        <f t="shared" si="154"/>
        <v>53</v>
      </c>
      <c r="BL136" s="7">
        <f t="shared" si="154"/>
        <v>-36</v>
      </c>
      <c r="BM136" s="7">
        <f t="shared" si="154"/>
        <v>-21</v>
      </c>
      <c r="BN136" s="7">
        <f t="shared" si="154"/>
        <v>-10</v>
      </c>
      <c r="BO136" s="7">
        <f t="shared" ref="BO136:CZ136" si="155">BP62+BO87</f>
        <v>-17</v>
      </c>
      <c r="BP136" s="7">
        <f t="shared" si="155"/>
        <v>-9</v>
      </c>
      <c r="BQ136" s="7">
        <f t="shared" si="155"/>
        <v>-34</v>
      </c>
      <c r="BR136" s="7">
        <f t="shared" si="155"/>
        <v>7</v>
      </c>
      <c r="BS136" s="7">
        <f t="shared" si="155"/>
        <v>-11</v>
      </c>
      <c r="BT136" s="7">
        <f t="shared" si="155"/>
        <v>-5</v>
      </c>
      <c r="BU136" s="7">
        <f t="shared" si="155"/>
        <v>-2</v>
      </c>
      <c r="BV136" s="7">
        <f t="shared" si="155"/>
        <v>33</v>
      </c>
      <c r="BW136" s="7">
        <f t="shared" si="155"/>
        <v>26</v>
      </c>
      <c r="BX136" s="7">
        <f t="shared" si="155"/>
        <v>-11</v>
      </c>
      <c r="BY136" s="7">
        <f t="shared" si="155"/>
        <v>-7</v>
      </c>
      <c r="BZ136" s="7">
        <f t="shared" si="155"/>
        <v>14</v>
      </c>
      <c r="CA136" s="7">
        <f t="shared" si="155"/>
        <v>6</v>
      </c>
      <c r="CB136" s="7">
        <f t="shared" si="155"/>
        <v>9</v>
      </c>
      <c r="CC136" s="7">
        <f t="shared" si="155"/>
        <v>0</v>
      </c>
      <c r="CD136" s="7">
        <f t="shared" si="155"/>
        <v>12</v>
      </c>
      <c r="CE136" s="7">
        <f t="shared" si="155"/>
        <v>2</v>
      </c>
      <c r="CF136" s="7">
        <f t="shared" si="155"/>
        <v>8</v>
      </c>
      <c r="CG136" s="7">
        <f t="shared" si="155"/>
        <v>-5</v>
      </c>
      <c r="CH136" s="7">
        <f t="shared" si="155"/>
        <v>6</v>
      </c>
      <c r="CI136" s="7">
        <f t="shared" si="155"/>
        <v>0</v>
      </c>
      <c r="CJ136" s="7">
        <f t="shared" si="155"/>
        <v>2</v>
      </c>
      <c r="CK136" s="7">
        <f t="shared" si="155"/>
        <v>-15</v>
      </c>
      <c r="CL136" s="7">
        <f t="shared" si="155"/>
        <v>9</v>
      </c>
      <c r="CM136" s="7">
        <f t="shared" si="155"/>
        <v>2</v>
      </c>
      <c r="CN136" s="7">
        <f t="shared" si="155"/>
        <v>-3</v>
      </c>
      <c r="CO136" s="7">
        <f t="shared" si="155"/>
        <v>5</v>
      </c>
      <c r="CP136" s="7">
        <f t="shared" si="155"/>
        <v>1</v>
      </c>
      <c r="CQ136" s="7">
        <f t="shared" si="155"/>
        <v>-2</v>
      </c>
      <c r="CR136" s="7">
        <f t="shared" si="155"/>
        <v>2</v>
      </c>
      <c r="CS136" s="7">
        <f t="shared" si="155"/>
        <v>-2</v>
      </c>
      <c r="CT136" s="7">
        <f t="shared" si="155"/>
        <v>2</v>
      </c>
      <c r="CU136" s="7">
        <f t="shared" si="155"/>
        <v>2</v>
      </c>
      <c r="CV136" s="7">
        <f t="shared" si="155"/>
        <v>-1</v>
      </c>
      <c r="CW136" s="7">
        <f t="shared" si="155"/>
        <v>-1</v>
      </c>
      <c r="CX136" s="7">
        <f t="shared" si="155"/>
        <v>1</v>
      </c>
      <c r="CY136" s="7">
        <f t="shared" si="155"/>
        <v>-2</v>
      </c>
      <c r="CZ136" s="7">
        <f t="shared" si="155"/>
        <v>0</v>
      </c>
    </row>
    <row r="137" spans="1:104" x14ac:dyDescent="0.3">
      <c r="A137" s="10">
        <v>2012</v>
      </c>
      <c r="C137" s="7">
        <f t="shared" ref="C137:BN137" si="156">D63+C88</f>
        <v>991</v>
      </c>
      <c r="D137" s="7">
        <f t="shared" si="156"/>
        <v>918</v>
      </c>
      <c r="E137" s="7">
        <f t="shared" si="156"/>
        <v>741</v>
      </c>
      <c r="F137" s="7">
        <f t="shared" si="156"/>
        <v>578</v>
      </c>
      <c r="G137" s="7">
        <f t="shared" si="156"/>
        <v>547</v>
      </c>
      <c r="H137" s="7">
        <f t="shared" si="156"/>
        <v>442</v>
      </c>
      <c r="I137" s="7">
        <f t="shared" si="156"/>
        <v>407</v>
      </c>
      <c r="J137" s="7">
        <f t="shared" si="156"/>
        <v>399</v>
      </c>
      <c r="K137" s="7">
        <f t="shared" si="156"/>
        <v>440</v>
      </c>
      <c r="L137" s="7">
        <f t="shared" si="156"/>
        <v>354</v>
      </c>
      <c r="M137" s="7">
        <f t="shared" si="156"/>
        <v>346</v>
      </c>
      <c r="N137" s="7">
        <f t="shared" si="156"/>
        <v>410</v>
      </c>
      <c r="O137" s="7">
        <f t="shared" si="156"/>
        <v>418</v>
      </c>
      <c r="P137" s="7">
        <f t="shared" si="156"/>
        <v>379</v>
      </c>
      <c r="Q137" s="7">
        <f t="shared" si="156"/>
        <v>434</v>
      </c>
      <c r="R137" s="7">
        <f t="shared" si="156"/>
        <v>529</v>
      </c>
      <c r="S137" s="7">
        <f t="shared" si="156"/>
        <v>563</v>
      </c>
      <c r="T137" s="7">
        <f t="shared" si="156"/>
        <v>502</v>
      </c>
      <c r="U137" s="7">
        <f t="shared" si="156"/>
        <v>758</v>
      </c>
      <c r="V137" s="7">
        <f t="shared" si="156"/>
        <v>962</v>
      </c>
      <c r="W137" s="7">
        <f t="shared" si="156"/>
        <v>991</v>
      </c>
      <c r="X137" s="7">
        <f t="shared" si="156"/>
        <v>1349</v>
      </c>
      <c r="Y137" s="7">
        <f t="shared" si="156"/>
        <v>1682</v>
      </c>
      <c r="Z137" s="7">
        <f t="shared" si="156"/>
        <v>1966</v>
      </c>
      <c r="AA137" s="7">
        <f t="shared" si="156"/>
        <v>2351</v>
      </c>
      <c r="AB137" s="7">
        <f t="shared" si="156"/>
        <v>2439</v>
      </c>
      <c r="AC137" s="7">
        <f t="shared" si="156"/>
        <v>2277</v>
      </c>
      <c r="AD137" s="7">
        <f t="shared" si="156"/>
        <v>2130</v>
      </c>
      <c r="AE137" s="7">
        <f t="shared" si="156"/>
        <v>2008</v>
      </c>
      <c r="AF137" s="7">
        <f t="shared" si="156"/>
        <v>1877</v>
      </c>
      <c r="AG137" s="7">
        <f t="shared" si="156"/>
        <v>1550</v>
      </c>
      <c r="AH137" s="7">
        <f t="shared" si="156"/>
        <v>1450</v>
      </c>
      <c r="AI137" s="7">
        <f t="shared" si="156"/>
        <v>1392</v>
      </c>
      <c r="AJ137" s="7">
        <f t="shared" si="156"/>
        <v>1270</v>
      </c>
      <c r="AK137" s="7">
        <f t="shared" si="156"/>
        <v>1174</v>
      </c>
      <c r="AL137" s="7">
        <f t="shared" si="156"/>
        <v>999</v>
      </c>
      <c r="AM137" s="7">
        <f t="shared" si="156"/>
        <v>907</v>
      </c>
      <c r="AN137" s="7">
        <f t="shared" si="156"/>
        <v>850</v>
      </c>
      <c r="AO137" s="7">
        <f t="shared" si="156"/>
        <v>859</v>
      </c>
      <c r="AP137" s="7">
        <f t="shared" si="156"/>
        <v>709</v>
      </c>
      <c r="AQ137" s="7">
        <f t="shared" si="156"/>
        <v>608</v>
      </c>
      <c r="AR137" s="7">
        <f t="shared" si="156"/>
        <v>596</v>
      </c>
      <c r="AS137" s="7">
        <f t="shared" si="156"/>
        <v>497</v>
      </c>
      <c r="AT137" s="7">
        <f t="shared" si="156"/>
        <v>490</v>
      </c>
      <c r="AU137" s="7">
        <f t="shared" si="156"/>
        <v>395</v>
      </c>
      <c r="AV137" s="7">
        <f t="shared" si="156"/>
        <v>359</v>
      </c>
      <c r="AW137" s="7">
        <f t="shared" si="156"/>
        <v>350</v>
      </c>
      <c r="AX137" s="7">
        <f t="shared" si="156"/>
        <v>288</v>
      </c>
      <c r="AY137" s="7">
        <f t="shared" si="156"/>
        <v>270</v>
      </c>
      <c r="AZ137" s="7">
        <f t="shared" si="156"/>
        <v>205</v>
      </c>
      <c r="BA137" s="7">
        <f t="shared" si="156"/>
        <v>243</v>
      </c>
      <c r="BB137" s="7">
        <f t="shared" si="156"/>
        <v>203</v>
      </c>
      <c r="BC137" s="7">
        <f t="shared" si="156"/>
        <v>212</v>
      </c>
      <c r="BD137" s="7">
        <f t="shared" si="156"/>
        <v>176</v>
      </c>
      <c r="BE137" s="7">
        <f t="shared" si="156"/>
        <v>128</v>
      </c>
      <c r="BF137" s="7">
        <f t="shared" si="156"/>
        <v>144</v>
      </c>
      <c r="BG137" s="7">
        <f t="shared" si="156"/>
        <v>98</v>
      </c>
      <c r="BH137" s="7">
        <f t="shared" si="156"/>
        <v>30</v>
      </c>
      <c r="BI137" s="7">
        <f t="shared" si="156"/>
        <v>45</v>
      </c>
      <c r="BJ137" s="7">
        <f t="shared" si="156"/>
        <v>33</v>
      </c>
      <c r="BK137" s="7">
        <f t="shared" si="156"/>
        <v>44</v>
      </c>
      <c r="BL137" s="7">
        <f t="shared" si="156"/>
        <v>-19</v>
      </c>
      <c r="BM137" s="7">
        <f t="shared" si="156"/>
        <v>1</v>
      </c>
      <c r="BN137" s="7">
        <f t="shared" si="156"/>
        <v>-10</v>
      </c>
      <c r="BO137" s="7">
        <f t="shared" ref="BO137:CZ137" si="157">BP63+BO88</f>
        <v>-22</v>
      </c>
      <c r="BP137" s="7">
        <f t="shared" si="157"/>
        <v>11</v>
      </c>
      <c r="BQ137" s="7">
        <f t="shared" si="157"/>
        <v>-20</v>
      </c>
      <c r="BR137" s="7">
        <f t="shared" si="157"/>
        <v>-30</v>
      </c>
      <c r="BS137" s="7">
        <f t="shared" si="157"/>
        <v>14</v>
      </c>
      <c r="BT137" s="7">
        <f t="shared" si="157"/>
        <v>-22</v>
      </c>
      <c r="BU137" s="7">
        <f t="shared" si="157"/>
        <v>0</v>
      </c>
      <c r="BV137" s="7">
        <f t="shared" si="157"/>
        <v>16</v>
      </c>
      <c r="BW137" s="7">
        <f t="shared" si="157"/>
        <v>2</v>
      </c>
      <c r="BX137" s="7">
        <f t="shared" si="157"/>
        <v>0</v>
      </c>
      <c r="BY137" s="7">
        <f t="shared" si="157"/>
        <v>12</v>
      </c>
      <c r="BZ137" s="7">
        <f t="shared" si="157"/>
        <v>8</v>
      </c>
      <c r="CA137" s="7">
        <f t="shared" si="157"/>
        <v>15</v>
      </c>
      <c r="CB137" s="7">
        <f t="shared" si="157"/>
        <v>2</v>
      </c>
      <c r="CC137" s="7">
        <f t="shared" si="157"/>
        <v>14</v>
      </c>
      <c r="CD137" s="7">
        <f t="shared" si="157"/>
        <v>2</v>
      </c>
      <c r="CE137" s="7">
        <f t="shared" si="157"/>
        <v>11</v>
      </c>
      <c r="CF137" s="7">
        <f t="shared" si="157"/>
        <v>9</v>
      </c>
      <c r="CG137" s="7">
        <f t="shared" si="157"/>
        <v>-1</v>
      </c>
      <c r="CH137" s="7">
        <f t="shared" si="157"/>
        <v>2</v>
      </c>
      <c r="CI137" s="7">
        <f t="shared" si="157"/>
        <v>4</v>
      </c>
      <c r="CJ137" s="7">
        <f t="shared" si="157"/>
        <v>0</v>
      </c>
      <c r="CK137" s="7">
        <f t="shared" si="157"/>
        <v>3</v>
      </c>
      <c r="CL137" s="7">
        <f t="shared" si="157"/>
        <v>0</v>
      </c>
      <c r="CM137" s="7">
        <f t="shared" si="157"/>
        <v>-4</v>
      </c>
      <c r="CN137" s="7">
        <f t="shared" si="157"/>
        <v>-3</v>
      </c>
      <c r="CO137" s="7">
        <f t="shared" si="157"/>
        <v>-3</v>
      </c>
      <c r="CP137" s="7">
        <f t="shared" si="157"/>
        <v>-6</v>
      </c>
      <c r="CQ137" s="7">
        <f t="shared" si="157"/>
        <v>-4</v>
      </c>
      <c r="CR137" s="7">
        <f t="shared" si="157"/>
        <v>-4</v>
      </c>
      <c r="CS137" s="7">
        <f t="shared" si="157"/>
        <v>-2</v>
      </c>
      <c r="CT137" s="7">
        <f t="shared" si="157"/>
        <v>0</v>
      </c>
      <c r="CU137" s="7">
        <f t="shared" si="157"/>
        <v>-2</v>
      </c>
      <c r="CV137" s="7">
        <f t="shared" si="157"/>
        <v>0</v>
      </c>
      <c r="CW137" s="7">
        <f t="shared" si="157"/>
        <v>1</v>
      </c>
      <c r="CX137" s="7">
        <f t="shared" si="157"/>
        <v>0</v>
      </c>
      <c r="CY137" s="7">
        <f t="shared" si="157"/>
        <v>0</v>
      </c>
      <c r="CZ137" s="7">
        <f t="shared" si="157"/>
        <v>0</v>
      </c>
    </row>
    <row r="138" spans="1:104" x14ac:dyDescent="0.3">
      <c r="A138" s="10">
        <v>2013</v>
      </c>
      <c r="C138" s="7">
        <f t="shared" ref="C138:BN138" si="158">D64+C89</f>
        <v>936</v>
      </c>
      <c r="D138" s="7">
        <f t="shared" si="158"/>
        <v>760</v>
      </c>
      <c r="E138" s="7">
        <f t="shared" si="158"/>
        <v>567</v>
      </c>
      <c r="F138" s="7">
        <f t="shared" si="158"/>
        <v>527</v>
      </c>
      <c r="G138" s="7">
        <f t="shared" si="158"/>
        <v>451</v>
      </c>
      <c r="H138" s="7">
        <f t="shared" si="158"/>
        <v>453</v>
      </c>
      <c r="I138" s="7">
        <f t="shared" si="158"/>
        <v>377</v>
      </c>
      <c r="J138" s="7">
        <f t="shared" si="158"/>
        <v>420</v>
      </c>
      <c r="K138" s="7">
        <f t="shared" si="158"/>
        <v>425</v>
      </c>
      <c r="L138" s="7">
        <f t="shared" si="158"/>
        <v>367</v>
      </c>
      <c r="M138" s="7">
        <f t="shared" si="158"/>
        <v>423</v>
      </c>
      <c r="N138" s="7">
        <f t="shared" si="158"/>
        <v>312</v>
      </c>
      <c r="O138" s="7">
        <f t="shared" si="158"/>
        <v>405</v>
      </c>
      <c r="P138" s="7">
        <f t="shared" si="158"/>
        <v>387</v>
      </c>
      <c r="Q138" s="7">
        <f t="shared" si="158"/>
        <v>416</v>
      </c>
      <c r="R138" s="7">
        <f t="shared" si="158"/>
        <v>528</v>
      </c>
      <c r="S138" s="7">
        <f t="shared" si="158"/>
        <v>602</v>
      </c>
      <c r="T138" s="7">
        <f t="shared" si="158"/>
        <v>546</v>
      </c>
      <c r="U138" s="7">
        <f t="shared" si="158"/>
        <v>581</v>
      </c>
      <c r="V138" s="7">
        <f t="shared" si="158"/>
        <v>602</v>
      </c>
      <c r="W138" s="7">
        <f t="shared" si="158"/>
        <v>906</v>
      </c>
      <c r="X138" s="7">
        <f t="shared" si="158"/>
        <v>1215</v>
      </c>
      <c r="Y138" s="7">
        <f t="shared" si="158"/>
        <v>1488</v>
      </c>
      <c r="Z138" s="7">
        <f t="shared" si="158"/>
        <v>1679</v>
      </c>
      <c r="AA138" s="7">
        <f t="shared" si="158"/>
        <v>1972</v>
      </c>
      <c r="AB138" s="7">
        <f t="shared" si="158"/>
        <v>1943</v>
      </c>
      <c r="AC138" s="7">
        <f t="shared" si="158"/>
        <v>2107</v>
      </c>
      <c r="AD138" s="7">
        <f t="shared" si="158"/>
        <v>1965</v>
      </c>
      <c r="AE138" s="7">
        <f t="shared" si="158"/>
        <v>1822</v>
      </c>
      <c r="AF138" s="7">
        <f t="shared" si="158"/>
        <v>1586</v>
      </c>
      <c r="AG138" s="7">
        <f t="shared" si="158"/>
        <v>1289</v>
      </c>
      <c r="AH138" s="7">
        <f t="shared" si="158"/>
        <v>1193</v>
      </c>
      <c r="AI138" s="7">
        <f t="shared" si="158"/>
        <v>1098</v>
      </c>
      <c r="AJ138" s="7">
        <f t="shared" si="158"/>
        <v>1052</v>
      </c>
      <c r="AK138" s="7">
        <f t="shared" si="158"/>
        <v>987</v>
      </c>
      <c r="AL138" s="7">
        <f t="shared" si="158"/>
        <v>863</v>
      </c>
      <c r="AM138" s="7">
        <f t="shared" si="158"/>
        <v>774</v>
      </c>
      <c r="AN138" s="7">
        <f t="shared" si="158"/>
        <v>656</v>
      </c>
      <c r="AO138" s="7">
        <f t="shared" si="158"/>
        <v>713</v>
      </c>
      <c r="AP138" s="7">
        <f t="shared" si="158"/>
        <v>573</v>
      </c>
      <c r="AQ138" s="7">
        <f t="shared" si="158"/>
        <v>567</v>
      </c>
      <c r="AR138" s="7">
        <f t="shared" si="158"/>
        <v>474</v>
      </c>
      <c r="AS138" s="7">
        <f t="shared" si="158"/>
        <v>430</v>
      </c>
      <c r="AT138" s="7">
        <f t="shared" si="158"/>
        <v>351</v>
      </c>
      <c r="AU138" s="7">
        <f t="shared" si="158"/>
        <v>281</v>
      </c>
      <c r="AV138" s="7">
        <f t="shared" si="158"/>
        <v>248</v>
      </c>
      <c r="AW138" s="7">
        <f t="shared" si="158"/>
        <v>261</v>
      </c>
      <c r="AX138" s="7">
        <f t="shared" si="158"/>
        <v>228</v>
      </c>
      <c r="AY138" s="7">
        <f t="shared" si="158"/>
        <v>220</v>
      </c>
      <c r="AZ138" s="7">
        <f t="shared" si="158"/>
        <v>117</v>
      </c>
      <c r="BA138" s="7">
        <f t="shared" si="158"/>
        <v>110</v>
      </c>
      <c r="BB138" s="7">
        <f t="shared" si="158"/>
        <v>104</v>
      </c>
      <c r="BC138" s="7">
        <f t="shared" si="158"/>
        <v>107</v>
      </c>
      <c r="BD138" s="7">
        <f t="shared" si="158"/>
        <v>90</v>
      </c>
      <c r="BE138" s="7">
        <f t="shared" si="158"/>
        <v>67</v>
      </c>
      <c r="BF138" s="7">
        <f t="shared" si="158"/>
        <v>22</v>
      </c>
      <c r="BG138" s="7">
        <f t="shared" si="158"/>
        <v>-11</v>
      </c>
      <c r="BH138" s="7">
        <f t="shared" si="158"/>
        <v>-5</v>
      </c>
      <c r="BI138" s="7">
        <f t="shared" si="158"/>
        <v>30</v>
      </c>
      <c r="BJ138" s="7">
        <f t="shared" si="158"/>
        <v>-11</v>
      </c>
      <c r="BK138" s="7">
        <f t="shared" si="158"/>
        <v>-14</v>
      </c>
      <c r="BL138" s="7">
        <f t="shared" si="158"/>
        <v>-11</v>
      </c>
      <c r="BM138" s="7">
        <f t="shared" si="158"/>
        <v>-19</v>
      </c>
      <c r="BN138" s="7">
        <f t="shared" si="158"/>
        <v>-24</v>
      </c>
      <c r="BO138" s="7">
        <f t="shared" ref="BO138:CZ138" si="159">BP64+BO89</f>
        <v>2</v>
      </c>
      <c r="BP138" s="7">
        <f t="shared" si="159"/>
        <v>-6</v>
      </c>
      <c r="BQ138" s="7">
        <f t="shared" si="159"/>
        <v>-9</v>
      </c>
      <c r="BR138" s="7">
        <f t="shared" si="159"/>
        <v>-33</v>
      </c>
      <c r="BS138" s="7">
        <f t="shared" si="159"/>
        <v>-13</v>
      </c>
      <c r="BT138" s="7">
        <f t="shared" si="159"/>
        <v>5</v>
      </c>
      <c r="BU138" s="7">
        <f t="shared" si="159"/>
        <v>26</v>
      </c>
      <c r="BV138" s="7">
        <f t="shared" si="159"/>
        <v>-2</v>
      </c>
      <c r="BW138" s="7">
        <f t="shared" si="159"/>
        <v>11</v>
      </c>
      <c r="BX138" s="7">
        <f t="shared" si="159"/>
        <v>6</v>
      </c>
      <c r="BY138" s="7">
        <f t="shared" si="159"/>
        <v>3</v>
      </c>
      <c r="BZ138" s="7">
        <f t="shared" si="159"/>
        <v>19</v>
      </c>
      <c r="CA138" s="7">
        <f t="shared" si="159"/>
        <v>-19</v>
      </c>
      <c r="CB138" s="7">
        <f t="shared" si="159"/>
        <v>4</v>
      </c>
      <c r="CC138" s="7">
        <f t="shared" si="159"/>
        <v>11</v>
      </c>
      <c r="CD138" s="7">
        <f t="shared" si="159"/>
        <v>7</v>
      </c>
      <c r="CE138" s="7">
        <f t="shared" si="159"/>
        <v>6</v>
      </c>
      <c r="CF138" s="7">
        <f t="shared" si="159"/>
        <v>15</v>
      </c>
      <c r="CG138" s="7">
        <f t="shared" si="159"/>
        <v>-1</v>
      </c>
      <c r="CH138" s="7">
        <f t="shared" si="159"/>
        <v>-2</v>
      </c>
      <c r="CI138" s="7">
        <f t="shared" si="159"/>
        <v>-8</v>
      </c>
      <c r="CJ138" s="7">
        <f t="shared" si="159"/>
        <v>0</v>
      </c>
      <c r="CK138" s="7">
        <f t="shared" si="159"/>
        <v>7</v>
      </c>
      <c r="CL138" s="7">
        <f t="shared" si="159"/>
        <v>0</v>
      </c>
      <c r="CM138" s="7">
        <f t="shared" si="159"/>
        <v>1</v>
      </c>
      <c r="CN138" s="7">
        <f t="shared" si="159"/>
        <v>-2</v>
      </c>
      <c r="CO138" s="7">
        <f t="shared" si="159"/>
        <v>-4</v>
      </c>
      <c r="CP138" s="7">
        <f t="shared" si="159"/>
        <v>2</v>
      </c>
      <c r="CQ138" s="7">
        <f t="shared" si="159"/>
        <v>1</v>
      </c>
      <c r="CR138" s="7">
        <f t="shared" si="159"/>
        <v>-3</v>
      </c>
      <c r="CS138" s="7">
        <f t="shared" si="159"/>
        <v>-3</v>
      </c>
      <c r="CT138" s="7">
        <f t="shared" si="159"/>
        <v>0</v>
      </c>
      <c r="CU138" s="7">
        <f t="shared" si="159"/>
        <v>3</v>
      </c>
      <c r="CV138" s="7">
        <f t="shared" si="159"/>
        <v>-2</v>
      </c>
      <c r="CW138" s="7">
        <f t="shared" si="159"/>
        <v>-1</v>
      </c>
      <c r="CX138" s="7">
        <f t="shared" si="159"/>
        <v>0</v>
      </c>
      <c r="CY138" s="7">
        <f t="shared" si="159"/>
        <v>-1</v>
      </c>
      <c r="CZ138" s="7">
        <f t="shared" si="159"/>
        <v>0</v>
      </c>
    </row>
    <row r="139" spans="1:104" x14ac:dyDescent="0.3">
      <c r="A139" s="10">
        <v>2014</v>
      </c>
      <c r="C139" s="7">
        <f t="shared" ref="C139:BN139" si="160">D65+C90</f>
        <v>780</v>
      </c>
      <c r="D139" s="7">
        <f t="shared" si="160"/>
        <v>653</v>
      </c>
      <c r="E139" s="7">
        <f t="shared" si="160"/>
        <v>494</v>
      </c>
      <c r="F139" s="7">
        <f t="shared" si="160"/>
        <v>383</v>
      </c>
      <c r="G139" s="7">
        <f t="shared" si="160"/>
        <v>396</v>
      </c>
      <c r="H139" s="7">
        <f t="shared" si="160"/>
        <v>345</v>
      </c>
      <c r="I139" s="7">
        <f t="shared" si="160"/>
        <v>351</v>
      </c>
      <c r="J139" s="7">
        <f t="shared" si="160"/>
        <v>340</v>
      </c>
      <c r="K139" s="7">
        <f t="shared" si="160"/>
        <v>363</v>
      </c>
      <c r="L139" s="7">
        <f t="shared" si="160"/>
        <v>334</v>
      </c>
      <c r="M139" s="7">
        <f t="shared" si="160"/>
        <v>361</v>
      </c>
      <c r="N139" s="7">
        <f t="shared" si="160"/>
        <v>356</v>
      </c>
      <c r="O139" s="7">
        <f t="shared" si="160"/>
        <v>374</v>
      </c>
      <c r="P139" s="7">
        <f t="shared" si="160"/>
        <v>364</v>
      </c>
      <c r="Q139" s="7">
        <f t="shared" si="160"/>
        <v>388</v>
      </c>
      <c r="R139" s="7">
        <f t="shared" si="160"/>
        <v>648</v>
      </c>
      <c r="S139" s="7">
        <f t="shared" si="160"/>
        <v>624</v>
      </c>
      <c r="T139" s="7">
        <f t="shared" si="160"/>
        <v>505</v>
      </c>
      <c r="U139" s="7">
        <f t="shared" si="160"/>
        <v>601</v>
      </c>
      <c r="V139" s="7">
        <f t="shared" si="160"/>
        <v>763</v>
      </c>
      <c r="W139" s="7">
        <f t="shared" si="160"/>
        <v>1057</v>
      </c>
      <c r="X139" s="7">
        <f t="shared" si="160"/>
        <v>1079</v>
      </c>
      <c r="Y139" s="7">
        <f t="shared" si="160"/>
        <v>1401</v>
      </c>
      <c r="Z139" s="7">
        <f t="shared" si="160"/>
        <v>1661</v>
      </c>
      <c r="AA139" s="7">
        <f t="shared" si="160"/>
        <v>1941</v>
      </c>
      <c r="AB139" s="7">
        <f t="shared" si="160"/>
        <v>2070</v>
      </c>
      <c r="AC139" s="7">
        <f t="shared" si="160"/>
        <v>1834</v>
      </c>
      <c r="AD139" s="7">
        <f t="shared" si="160"/>
        <v>1727</v>
      </c>
      <c r="AE139" s="7">
        <f t="shared" si="160"/>
        <v>1633</v>
      </c>
      <c r="AF139" s="7">
        <f t="shared" si="160"/>
        <v>1424</v>
      </c>
      <c r="AG139" s="7">
        <f t="shared" si="160"/>
        <v>1150</v>
      </c>
      <c r="AH139" s="7">
        <f t="shared" si="160"/>
        <v>1066</v>
      </c>
      <c r="AI139" s="7">
        <f t="shared" si="160"/>
        <v>972</v>
      </c>
      <c r="AJ139" s="7">
        <f t="shared" si="160"/>
        <v>946</v>
      </c>
      <c r="AK139" s="7">
        <f t="shared" si="160"/>
        <v>813</v>
      </c>
      <c r="AL139" s="7">
        <f t="shared" si="160"/>
        <v>773</v>
      </c>
      <c r="AM139" s="7">
        <f t="shared" si="160"/>
        <v>659</v>
      </c>
      <c r="AN139" s="7">
        <f t="shared" si="160"/>
        <v>748</v>
      </c>
      <c r="AO139" s="7">
        <f t="shared" si="160"/>
        <v>605</v>
      </c>
      <c r="AP139" s="7">
        <f t="shared" si="160"/>
        <v>546</v>
      </c>
      <c r="AQ139" s="7">
        <f t="shared" si="160"/>
        <v>517</v>
      </c>
      <c r="AR139" s="7">
        <f t="shared" si="160"/>
        <v>453</v>
      </c>
      <c r="AS139" s="7">
        <f t="shared" si="160"/>
        <v>392</v>
      </c>
      <c r="AT139" s="7">
        <f t="shared" si="160"/>
        <v>335</v>
      </c>
      <c r="AU139" s="7">
        <f t="shared" si="160"/>
        <v>336</v>
      </c>
      <c r="AV139" s="7">
        <f t="shared" si="160"/>
        <v>237</v>
      </c>
      <c r="AW139" s="7">
        <f t="shared" si="160"/>
        <v>293</v>
      </c>
      <c r="AX139" s="7">
        <f t="shared" si="160"/>
        <v>239</v>
      </c>
      <c r="AY139" s="7">
        <f t="shared" si="160"/>
        <v>191</v>
      </c>
      <c r="AZ139" s="7">
        <f t="shared" si="160"/>
        <v>177</v>
      </c>
      <c r="BA139" s="7">
        <f t="shared" si="160"/>
        <v>135</v>
      </c>
      <c r="BB139" s="7">
        <f t="shared" si="160"/>
        <v>123</v>
      </c>
      <c r="BC139" s="7">
        <f t="shared" si="160"/>
        <v>117</v>
      </c>
      <c r="BD139" s="7">
        <f t="shared" si="160"/>
        <v>103</v>
      </c>
      <c r="BE139" s="7">
        <f t="shared" si="160"/>
        <v>72</v>
      </c>
      <c r="BF139" s="7">
        <f t="shared" si="160"/>
        <v>60</v>
      </c>
      <c r="BG139" s="7">
        <f t="shared" si="160"/>
        <v>36</v>
      </c>
      <c r="BH139" s="7">
        <f t="shared" si="160"/>
        <v>13</v>
      </c>
      <c r="BI139" s="7">
        <f t="shared" si="160"/>
        <v>46</v>
      </c>
      <c r="BJ139" s="7">
        <f t="shared" si="160"/>
        <v>25</v>
      </c>
      <c r="BK139" s="7">
        <f t="shared" si="160"/>
        <v>35</v>
      </c>
      <c r="BL139" s="7">
        <f t="shared" si="160"/>
        <v>5</v>
      </c>
      <c r="BM139" s="7">
        <f t="shared" si="160"/>
        <v>-8</v>
      </c>
      <c r="BN139" s="7">
        <f t="shared" si="160"/>
        <v>4</v>
      </c>
      <c r="BO139" s="7">
        <f t="shared" ref="BO139:CZ139" si="161">BP65+BO90</f>
        <v>-24</v>
      </c>
      <c r="BP139" s="7">
        <f t="shared" si="161"/>
        <v>2</v>
      </c>
      <c r="BQ139" s="7">
        <f t="shared" si="161"/>
        <v>-13</v>
      </c>
      <c r="BR139" s="7">
        <f t="shared" si="161"/>
        <v>-2</v>
      </c>
      <c r="BS139" s="7">
        <f t="shared" si="161"/>
        <v>8</v>
      </c>
      <c r="BT139" s="7">
        <f t="shared" si="161"/>
        <v>-2</v>
      </c>
      <c r="BU139" s="7">
        <f t="shared" si="161"/>
        <v>0</v>
      </c>
      <c r="BV139" s="7">
        <f t="shared" si="161"/>
        <v>16</v>
      </c>
      <c r="BW139" s="7">
        <f t="shared" si="161"/>
        <v>9</v>
      </c>
      <c r="BX139" s="7">
        <f t="shared" si="161"/>
        <v>11</v>
      </c>
      <c r="BY139" s="7">
        <f t="shared" si="161"/>
        <v>23</v>
      </c>
      <c r="BZ139" s="7">
        <f t="shared" si="161"/>
        <v>8</v>
      </c>
      <c r="CA139" s="7">
        <f t="shared" si="161"/>
        <v>31</v>
      </c>
      <c r="CB139" s="7">
        <f t="shared" si="161"/>
        <v>17</v>
      </c>
      <c r="CC139" s="7">
        <f t="shared" si="161"/>
        <v>12</v>
      </c>
      <c r="CD139" s="7">
        <f t="shared" si="161"/>
        <v>24</v>
      </c>
      <c r="CE139" s="7">
        <f t="shared" si="161"/>
        <v>3</v>
      </c>
      <c r="CF139" s="7">
        <f t="shared" si="161"/>
        <v>9</v>
      </c>
      <c r="CG139" s="7">
        <f t="shared" si="161"/>
        <v>1</v>
      </c>
      <c r="CH139" s="7">
        <f t="shared" si="161"/>
        <v>7</v>
      </c>
      <c r="CI139" s="7">
        <f t="shared" si="161"/>
        <v>8</v>
      </c>
      <c r="CJ139" s="7">
        <f t="shared" si="161"/>
        <v>0</v>
      </c>
      <c r="CK139" s="7">
        <f t="shared" si="161"/>
        <v>4</v>
      </c>
      <c r="CL139" s="7">
        <f t="shared" si="161"/>
        <v>3</v>
      </c>
      <c r="CM139" s="7">
        <f t="shared" si="161"/>
        <v>2</v>
      </c>
      <c r="CN139" s="7">
        <f t="shared" si="161"/>
        <v>2</v>
      </c>
      <c r="CO139" s="7">
        <f t="shared" si="161"/>
        <v>3</v>
      </c>
      <c r="CP139" s="7">
        <f t="shared" si="161"/>
        <v>3</v>
      </c>
      <c r="CQ139" s="7">
        <f t="shared" si="161"/>
        <v>1</v>
      </c>
      <c r="CR139" s="7">
        <f t="shared" si="161"/>
        <v>-1</v>
      </c>
      <c r="CS139" s="7">
        <f t="shared" si="161"/>
        <v>0</v>
      </c>
      <c r="CT139" s="7">
        <f t="shared" si="161"/>
        <v>-2</v>
      </c>
      <c r="CU139" s="7">
        <f t="shared" si="161"/>
        <v>0</v>
      </c>
      <c r="CV139" s="7">
        <f t="shared" si="161"/>
        <v>0</v>
      </c>
      <c r="CW139" s="7">
        <f t="shared" si="161"/>
        <v>2</v>
      </c>
      <c r="CX139" s="7">
        <f t="shared" si="161"/>
        <v>-1</v>
      </c>
      <c r="CY139" s="7">
        <f t="shared" si="161"/>
        <v>0</v>
      </c>
      <c r="CZ139" s="7">
        <f t="shared" si="161"/>
        <v>0</v>
      </c>
    </row>
    <row r="140" spans="1:104" x14ac:dyDescent="0.3">
      <c r="A140" s="10">
        <v>2015</v>
      </c>
      <c r="C140" s="7">
        <f t="shared" ref="C140:BN140" si="162">D66+C91</f>
        <v>734</v>
      </c>
      <c r="D140" s="7">
        <f t="shared" si="162"/>
        <v>373</v>
      </c>
      <c r="E140" s="7">
        <f t="shared" si="162"/>
        <v>390</v>
      </c>
      <c r="F140" s="7">
        <f t="shared" si="162"/>
        <v>315</v>
      </c>
      <c r="G140" s="7">
        <f t="shared" si="162"/>
        <v>367</v>
      </c>
      <c r="H140" s="7">
        <f t="shared" si="162"/>
        <v>328</v>
      </c>
      <c r="I140" s="7">
        <f t="shared" si="162"/>
        <v>389</v>
      </c>
      <c r="J140" s="7">
        <f t="shared" si="162"/>
        <v>402</v>
      </c>
      <c r="K140" s="7">
        <f t="shared" si="162"/>
        <v>411</v>
      </c>
      <c r="L140" s="7">
        <f t="shared" si="162"/>
        <v>489</v>
      </c>
      <c r="M140" s="7">
        <f t="shared" si="162"/>
        <v>458</v>
      </c>
      <c r="N140" s="7">
        <f t="shared" si="162"/>
        <v>399</v>
      </c>
      <c r="O140" s="7">
        <f t="shared" si="162"/>
        <v>458</v>
      </c>
      <c r="P140" s="7">
        <f t="shared" si="162"/>
        <v>473</v>
      </c>
      <c r="Q140" s="7">
        <f t="shared" si="162"/>
        <v>558</v>
      </c>
      <c r="R140" s="7">
        <f t="shared" si="162"/>
        <v>732</v>
      </c>
      <c r="S140" s="7">
        <f t="shared" si="162"/>
        <v>758</v>
      </c>
      <c r="T140" s="7">
        <f t="shared" si="162"/>
        <v>525</v>
      </c>
      <c r="U140" s="7">
        <f t="shared" si="162"/>
        <v>493</v>
      </c>
      <c r="V140" s="7">
        <f t="shared" si="162"/>
        <v>561</v>
      </c>
      <c r="W140" s="7">
        <f t="shared" si="162"/>
        <v>775</v>
      </c>
      <c r="X140" s="7">
        <f t="shared" si="162"/>
        <v>796</v>
      </c>
      <c r="Y140" s="7">
        <f t="shared" si="162"/>
        <v>1093</v>
      </c>
      <c r="Z140" s="7">
        <f t="shared" si="162"/>
        <v>1091</v>
      </c>
      <c r="AA140" s="7">
        <f t="shared" si="162"/>
        <v>1448</v>
      </c>
      <c r="AB140" s="7">
        <f t="shared" si="162"/>
        <v>1567</v>
      </c>
      <c r="AC140" s="7">
        <f t="shared" si="162"/>
        <v>1502</v>
      </c>
      <c r="AD140" s="7">
        <f t="shared" si="162"/>
        <v>1259</v>
      </c>
      <c r="AE140" s="7">
        <f t="shared" si="162"/>
        <v>1232</v>
      </c>
      <c r="AF140" s="7">
        <f t="shared" si="162"/>
        <v>1022</v>
      </c>
      <c r="AG140" s="7">
        <f t="shared" si="162"/>
        <v>880</v>
      </c>
      <c r="AH140" s="7">
        <f t="shared" si="162"/>
        <v>647</v>
      </c>
      <c r="AI140" s="7">
        <f t="shared" si="162"/>
        <v>700</v>
      </c>
      <c r="AJ140" s="7">
        <f t="shared" si="162"/>
        <v>556</v>
      </c>
      <c r="AK140" s="7">
        <f t="shared" si="162"/>
        <v>670</v>
      </c>
      <c r="AL140" s="7">
        <f t="shared" si="162"/>
        <v>473</v>
      </c>
      <c r="AM140" s="7">
        <f t="shared" si="162"/>
        <v>542</v>
      </c>
      <c r="AN140" s="7">
        <f t="shared" si="162"/>
        <v>430</v>
      </c>
      <c r="AO140" s="7">
        <f t="shared" si="162"/>
        <v>381</v>
      </c>
      <c r="AP140" s="7">
        <f t="shared" si="162"/>
        <v>417</v>
      </c>
      <c r="AQ140" s="7">
        <f t="shared" si="162"/>
        <v>417</v>
      </c>
      <c r="AR140" s="7">
        <f t="shared" si="162"/>
        <v>323</v>
      </c>
      <c r="AS140" s="7">
        <f t="shared" si="162"/>
        <v>304</v>
      </c>
      <c r="AT140" s="7">
        <f t="shared" si="162"/>
        <v>224</v>
      </c>
      <c r="AU140" s="7">
        <f t="shared" si="162"/>
        <v>254</v>
      </c>
      <c r="AV140" s="7">
        <f t="shared" si="162"/>
        <v>198</v>
      </c>
      <c r="AW140" s="7">
        <f t="shared" si="162"/>
        <v>170</v>
      </c>
      <c r="AX140" s="7">
        <f t="shared" si="162"/>
        <v>130</v>
      </c>
      <c r="AY140" s="7">
        <f t="shared" si="162"/>
        <v>92</v>
      </c>
      <c r="AZ140" s="7">
        <f t="shared" si="162"/>
        <v>96</v>
      </c>
      <c r="BA140" s="7">
        <f t="shared" si="162"/>
        <v>42</v>
      </c>
      <c r="BB140" s="7">
        <f t="shared" si="162"/>
        <v>74</v>
      </c>
      <c r="BC140" s="7">
        <f t="shared" si="162"/>
        <v>61</v>
      </c>
      <c r="BD140" s="7">
        <f t="shared" si="162"/>
        <v>25</v>
      </c>
      <c r="BE140" s="7">
        <f t="shared" si="162"/>
        <v>33</v>
      </c>
      <c r="BF140" s="7">
        <f t="shared" si="162"/>
        <v>-35</v>
      </c>
      <c r="BG140" s="7">
        <f t="shared" si="162"/>
        <v>1</v>
      </c>
      <c r="BH140" s="7">
        <f t="shared" si="162"/>
        <v>-9</v>
      </c>
      <c r="BI140" s="7">
        <f t="shared" si="162"/>
        <v>-6</v>
      </c>
      <c r="BJ140" s="7">
        <f t="shared" si="162"/>
        <v>-26</v>
      </c>
      <c r="BK140" s="7">
        <f t="shared" si="162"/>
        <v>-28</v>
      </c>
      <c r="BL140" s="7">
        <f t="shared" si="162"/>
        <v>-44</v>
      </c>
      <c r="BM140" s="7">
        <f t="shared" si="162"/>
        <v>-56</v>
      </c>
      <c r="BN140" s="7">
        <f t="shared" si="162"/>
        <v>-36</v>
      </c>
      <c r="BO140" s="7">
        <f t="shared" ref="BO140:CZ140" si="163">BP66+BO91</f>
        <v>-30</v>
      </c>
      <c r="BP140" s="7">
        <f t="shared" si="163"/>
        <v>-17</v>
      </c>
      <c r="BQ140" s="7">
        <f t="shared" si="163"/>
        <v>-29</v>
      </c>
      <c r="BR140" s="7">
        <f t="shared" si="163"/>
        <v>-27</v>
      </c>
      <c r="BS140" s="7">
        <f t="shared" si="163"/>
        <v>-3</v>
      </c>
      <c r="BT140" s="7">
        <f t="shared" si="163"/>
        <v>-3</v>
      </c>
      <c r="BU140" s="7">
        <f t="shared" si="163"/>
        <v>21</v>
      </c>
      <c r="BV140" s="7">
        <f t="shared" si="163"/>
        <v>10</v>
      </c>
      <c r="BW140" s="7">
        <f t="shared" si="163"/>
        <v>15</v>
      </c>
      <c r="BX140" s="7">
        <f t="shared" si="163"/>
        <v>33</v>
      </c>
      <c r="BY140" s="7">
        <f t="shared" si="163"/>
        <v>20</v>
      </c>
      <c r="BZ140" s="7">
        <f t="shared" si="163"/>
        <v>19</v>
      </c>
      <c r="CA140" s="7">
        <f t="shared" si="163"/>
        <v>18</v>
      </c>
      <c r="CB140" s="7">
        <f t="shared" si="163"/>
        <v>4</v>
      </c>
      <c r="CC140" s="7">
        <f t="shared" si="163"/>
        <v>11</v>
      </c>
      <c r="CD140" s="7">
        <f t="shared" si="163"/>
        <v>6</v>
      </c>
      <c r="CE140" s="7">
        <f t="shared" si="163"/>
        <v>13</v>
      </c>
      <c r="CF140" s="7">
        <f t="shared" si="163"/>
        <v>10</v>
      </c>
      <c r="CG140" s="7">
        <f t="shared" si="163"/>
        <v>9</v>
      </c>
      <c r="CH140" s="7">
        <f t="shared" si="163"/>
        <v>3</v>
      </c>
      <c r="CI140" s="7">
        <f t="shared" si="163"/>
        <v>0</v>
      </c>
      <c r="CJ140" s="7">
        <f t="shared" si="163"/>
        <v>10</v>
      </c>
      <c r="CK140" s="7">
        <f t="shared" si="163"/>
        <v>1</v>
      </c>
      <c r="CL140" s="7">
        <f t="shared" si="163"/>
        <v>4</v>
      </c>
      <c r="CM140" s="7">
        <f t="shared" si="163"/>
        <v>3</v>
      </c>
      <c r="CN140" s="7">
        <f t="shared" si="163"/>
        <v>-4</v>
      </c>
      <c r="CO140" s="7">
        <f t="shared" si="163"/>
        <v>0</v>
      </c>
      <c r="CP140" s="7">
        <f t="shared" si="163"/>
        <v>-1</v>
      </c>
      <c r="CQ140" s="7">
        <f t="shared" si="163"/>
        <v>-2</v>
      </c>
      <c r="CR140" s="7">
        <f t="shared" si="163"/>
        <v>0</v>
      </c>
      <c r="CS140" s="7">
        <f t="shared" si="163"/>
        <v>2</v>
      </c>
      <c r="CT140" s="7">
        <f t="shared" si="163"/>
        <v>3</v>
      </c>
      <c r="CU140" s="7">
        <f t="shared" si="163"/>
        <v>-3</v>
      </c>
      <c r="CV140" s="7">
        <f t="shared" si="163"/>
        <v>-1</v>
      </c>
      <c r="CW140" s="7">
        <f t="shared" si="163"/>
        <v>1</v>
      </c>
      <c r="CX140" s="7">
        <f t="shared" si="163"/>
        <v>0</v>
      </c>
      <c r="CY140" s="7">
        <f t="shared" si="163"/>
        <v>1</v>
      </c>
      <c r="CZ140" s="7">
        <f t="shared" si="163"/>
        <v>0</v>
      </c>
    </row>
    <row r="141" spans="1:104" x14ac:dyDescent="0.3">
      <c r="A141" s="10">
        <v>2016</v>
      </c>
      <c r="C141" s="7">
        <f t="shared" ref="C141:BN141" si="164">D67+C92</f>
        <v>622</v>
      </c>
      <c r="D141" s="7">
        <f t="shared" si="164"/>
        <v>491</v>
      </c>
      <c r="E141" s="7">
        <f t="shared" si="164"/>
        <v>354</v>
      </c>
      <c r="F141" s="7">
        <f t="shared" si="164"/>
        <v>313</v>
      </c>
      <c r="G141" s="7">
        <f t="shared" si="164"/>
        <v>302</v>
      </c>
      <c r="H141" s="7">
        <f t="shared" si="164"/>
        <v>314</v>
      </c>
      <c r="I141" s="7">
        <f t="shared" si="164"/>
        <v>417</v>
      </c>
      <c r="J141" s="7">
        <f t="shared" si="164"/>
        <v>438</v>
      </c>
      <c r="K141" s="7">
        <f t="shared" si="164"/>
        <v>417</v>
      </c>
      <c r="L141" s="7">
        <f t="shared" si="164"/>
        <v>447</v>
      </c>
      <c r="M141" s="7">
        <f t="shared" si="164"/>
        <v>419</v>
      </c>
      <c r="N141" s="7">
        <f t="shared" si="164"/>
        <v>465</v>
      </c>
      <c r="O141" s="7">
        <f t="shared" si="164"/>
        <v>513</v>
      </c>
      <c r="P141" s="7">
        <f t="shared" si="164"/>
        <v>577</v>
      </c>
      <c r="Q141" s="7">
        <f t="shared" si="164"/>
        <v>731</v>
      </c>
      <c r="R141" s="7">
        <f t="shared" si="164"/>
        <v>997</v>
      </c>
      <c r="S141" s="7">
        <f t="shared" si="164"/>
        <v>1014</v>
      </c>
      <c r="T141" s="7">
        <f t="shared" si="164"/>
        <v>755</v>
      </c>
      <c r="U141" s="7">
        <f t="shared" si="164"/>
        <v>523</v>
      </c>
      <c r="V141" s="7">
        <f t="shared" si="164"/>
        <v>724</v>
      </c>
      <c r="W141" s="7">
        <f t="shared" si="164"/>
        <v>862</v>
      </c>
      <c r="X141" s="7">
        <f t="shared" si="164"/>
        <v>913</v>
      </c>
      <c r="Y141" s="7">
        <f t="shared" si="164"/>
        <v>979</v>
      </c>
      <c r="Z141" s="7">
        <f t="shared" si="164"/>
        <v>1105</v>
      </c>
      <c r="AA141" s="7">
        <f t="shared" si="164"/>
        <v>1280</v>
      </c>
      <c r="AB141" s="7">
        <f t="shared" si="164"/>
        <v>1320</v>
      </c>
      <c r="AC141" s="7">
        <f t="shared" si="164"/>
        <v>1157</v>
      </c>
      <c r="AD141" s="7">
        <f t="shared" si="164"/>
        <v>1028</v>
      </c>
      <c r="AE141" s="7">
        <f t="shared" si="164"/>
        <v>908</v>
      </c>
      <c r="AF141" s="7">
        <f t="shared" si="164"/>
        <v>735</v>
      </c>
      <c r="AG141" s="7">
        <f t="shared" si="164"/>
        <v>602</v>
      </c>
      <c r="AH141" s="7">
        <f t="shared" si="164"/>
        <v>508</v>
      </c>
      <c r="AI141" s="7">
        <f t="shared" si="164"/>
        <v>423</v>
      </c>
      <c r="AJ141" s="7">
        <f t="shared" si="164"/>
        <v>317</v>
      </c>
      <c r="AK141" s="7">
        <f t="shared" si="164"/>
        <v>211</v>
      </c>
      <c r="AL141" s="7">
        <f t="shared" si="164"/>
        <v>436</v>
      </c>
      <c r="AM141" s="7">
        <f t="shared" si="164"/>
        <v>288</v>
      </c>
      <c r="AN141" s="7">
        <f t="shared" si="164"/>
        <v>292</v>
      </c>
      <c r="AO141" s="7">
        <f t="shared" si="164"/>
        <v>245</v>
      </c>
      <c r="AP141" s="7">
        <f t="shared" si="164"/>
        <v>159</v>
      </c>
      <c r="AQ141" s="7">
        <f t="shared" si="164"/>
        <v>160</v>
      </c>
      <c r="AR141" s="7">
        <f t="shared" si="164"/>
        <v>183</v>
      </c>
      <c r="AS141" s="7">
        <f t="shared" si="164"/>
        <v>161</v>
      </c>
      <c r="AT141" s="7">
        <f t="shared" si="164"/>
        <v>145</v>
      </c>
      <c r="AU141" s="7">
        <f t="shared" si="164"/>
        <v>101</v>
      </c>
      <c r="AV141" s="7">
        <f t="shared" si="164"/>
        <v>131</v>
      </c>
      <c r="AW141" s="7">
        <f t="shared" si="164"/>
        <v>47</v>
      </c>
      <c r="AX141" s="7">
        <f t="shared" si="164"/>
        <v>113</v>
      </c>
      <c r="AY141" s="7">
        <f t="shared" si="164"/>
        <v>46</v>
      </c>
      <c r="AZ141" s="7">
        <f t="shared" si="164"/>
        <v>59</v>
      </c>
      <c r="BA141" s="7">
        <f t="shared" si="164"/>
        <v>31</v>
      </c>
      <c r="BB141" s="7">
        <f t="shared" si="164"/>
        <v>17</v>
      </c>
      <c r="BC141" s="7">
        <f t="shared" si="164"/>
        <v>-18</v>
      </c>
      <c r="BD141" s="7">
        <f t="shared" si="164"/>
        <v>-29</v>
      </c>
      <c r="BE141" s="7">
        <f t="shared" si="164"/>
        <v>-1</v>
      </c>
      <c r="BF141" s="7">
        <f t="shared" si="164"/>
        <v>-13</v>
      </c>
      <c r="BG141" s="7">
        <f t="shared" si="164"/>
        <v>-36</v>
      </c>
      <c r="BH141" s="7">
        <f t="shared" si="164"/>
        <v>-17</v>
      </c>
      <c r="BI141" s="7">
        <f t="shared" si="164"/>
        <v>-23</v>
      </c>
      <c r="BJ141" s="7">
        <f t="shared" si="164"/>
        <v>-15</v>
      </c>
      <c r="BK141" s="7">
        <f t="shared" si="164"/>
        <v>-40</v>
      </c>
      <c r="BL141" s="7">
        <f t="shared" si="164"/>
        <v>-56</v>
      </c>
      <c r="BM141" s="7">
        <f t="shared" si="164"/>
        <v>-65</v>
      </c>
      <c r="BN141" s="7">
        <f t="shared" si="164"/>
        <v>-23</v>
      </c>
      <c r="BO141" s="7">
        <f t="shared" ref="BO141:CZ141" si="165">BP67+BO92</f>
        <v>-43</v>
      </c>
      <c r="BP141" s="7">
        <f t="shared" si="165"/>
        <v>-3</v>
      </c>
      <c r="BQ141" s="7">
        <f t="shared" si="165"/>
        <v>-30</v>
      </c>
      <c r="BR141" s="7">
        <f t="shared" si="165"/>
        <v>-28</v>
      </c>
      <c r="BS141" s="7">
        <f t="shared" si="165"/>
        <v>2</v>
      </c>
      <c r="BT141" s="7">
        <f t="shared" si="165"/>
        <v>25</v>
      </c>
      <c r="BU141" s="7">
        <f t="shared" si="165"/>
        <v>14</v>
      </c>
      <c r="BV141" s="7">
        <f t="shared" si="165"/>
        <v>17</v>
      </c>
      <c r="BW141" s="7">
        <f t="shared" si="165"/>
        <v>7</v>
      </c>
      <c r="BX141" s="7">
        <f t="shared" si="165"/>
        <v>19</v>
      </c>
      <c r="BY141" s="7">
        <f t="shared" si="165"/>
        <v>19</v>
      </c>
      <c r="BZ141" s="7">
        <f t="shared" si="165"/>
        <v>27</v>
      </c>
      <c r="CA141" s="7">
        <f t="shared" si="165"/>
        <v>11</v>
      </c>
      <c r="CB141" s="7">
        <f t="shared" si="165"/>
        <v>9</v>
      </c>
      <c r="CC141" s="7">
        <f t="shared" si="165"/>
        <v>11</v>
      </c>
      <c r="CD141" s="7">
        <f t="shared" si="165"/>
        <v>20</v>
      </c>
      <c r="CE141" s="7">
        <f t="shared" si="165"/>
        <v>16</v>
      </c>
      <c r="CF141" s="7">
        <f t="shared" si="165"/>
        <v>7</v>
      </c>
      <c r="CG141" s="7">
        <f t="shared" si="165"/>
        <v>13</v>
      </c>
      <c r="CH141" s="7">
        <f t="shared" si="165"/>
        <v>7</v>
      </c>
      <c r="CI141" s="7">
        <f t="shared" si="165"/>
        <v>6</v>
      </c>
      <c r="CJ141" s="7">
        <f t="shared" si="165"/>
        <v>4</v>
      </c>
      <c r="CK141" s="7">
        <f t="shared" si="165"/>
        <v>5</v>
      </c>
      <c r="CL141" s="7">
        <f t="shared" si="165"/>
        <v>2</v>
      </c>
      <c r="CM141" s="7">
        <f t="shared" si="165"/>
        <v>6</v>
      </c>
      <c r="CN141" s="7">
        <f t="shared" si="165"/>
        <v>0</v>
      </c>
      <c r="CO141" s="7">
        <f t="shared" si="165"/>
        <v>1</v>
      </c>
      <c r="CP141" s="7">
        <f t="shared" si="165"/>
        <v>3</v>
      </c>
      <c r="CQ141" s="7">
        <f t="shared" si="165"/>
        <v>5</v>
      </c>
      <c r="CR141" s="7">
        <f t="shared" si="165"/>
        <v>0</v>
      </c>
      <c r="CS141" s="7">
        <f t="shared" si="165"/>
        <v>0</v>
      </c>
      <c r="CT141" s="7">
        <f t="shared" si="165"/>
        <v>-2</v>
      </c>
      <c r="CU141" s="7">
        <f t="shared" si="165"/>
        <v>1</v>
      </c>
      <c r="CV141" s="7">
        <f t="shared" si="165"/>
        <v>0</v>
      </c>
      <c r="CW141" s="7">
        <f t="shared" si="165"/>
        <v>2</v>
      </c>
      <c r="CX141" s="7">
        <f t="shared" si="165"/>
        <v>1</v>
      </c>
      <c r="CY141" s="7">
        <f t="shared" si="165"/>
        <v>-2</v>
      </c>
      <c r="CZ141" s="7">
        <f t="shared" si="165"/>
        <v>0</v>
      </c>
    </row>
    <row r="142" spans="1:104" x14ac:dyDescent="0.3">
      <c r="A142" s="10">
        <v>2017</v>
      </c>
      <c r="C142" s="7">
        <f t="shared" ref="C142:BN142" si="166">D68+C93</f>
        <v>752</v>
      </c>
      <c r="D142" s="7">
        <f t="shared" si="166"/>
        <v>495</v>
      </c>
      <c r="E142" s="7">
        <f t="shared" si="166"/>
        <v>345</v>
      </c>
      <c r="F142" s="7">
        <f t="shared" si="166"/>
        <v>356</v>
      </c>
      <c r="G142" s="7">
        <f t="shared" si="166"/>
        <v>250</v>
      </c>
      <c r="H142" s="7">
        <f t="shared" si="166"/>
        <v>275</v>
      </c>
      <c r="I142" s="7">
        <f t="shared" si="166"/>
        <v>303</v>
      </c>
      <c r="J142" s="7">
        <f t="shared" si="166"/>
        <v>295</v>
      </c>
      <c r="K142" s="7">
        <f t="shared" si="166"/>
        <v>389</v>
      </c>
      <c r="L142" s="7">
        <f t="shared" si="166"/>
        <v>393</v>
      </c>
      <c r="M142" s="7">
        <f t="shared" si="166"/>
        <v>404</v>
      </c>
      <c r="N142" s="7">
        <f t="shared" si="166"/>
        <v>361</v>
      </c>
      <c r="O142" s="7">
        <f t="shared" si="166"/>
        <v>386</v>
      </c>
      <c r="P142" s="7">
        <f t="shared" si="166"/>
        <v>314</v>
      </c>
      <c r="Q142" s="7">
        <f t="shared" si="166"/>
        <v>394</v>
      </c>
      <c r="R142" s="7">
        <f t="shared" si="166"/>
        <v>507</v>
      </c>
      <c r="S142" s="7">
        <f t="shared" si="166"/>
        <v>655</v>
      </c>
      <c r="T142" s="7">
        <f t="shared" si="166"/>
        <v>644</v>
      </c>
      <c r="U142" s="7">
        <f t="shared" si="166"/>
        <v>378</v>
      </c>
      <c r="V142" s="7">
        <f t="shared" si="166"/>
        <v>451</v>
      </c>
      <c r="W142" s="7">
        <f t="shared" si="166"/>
        <v>517</v>
      </c>
      <c r="X142" s="7">
        <f t="shared" si="166"/>
        <v>609</v>
      </c>
      <c r="Y142" s="7">
        <f t="shared" si="166"/>
        <v>762</v>
      </c>
      <c r="Z142" s="7">
        <f t="shared" si="166"/>
        <v>953</v>
      </c>
      <c r="AA142" s="7">
        <f t="shared" si="166"/>
        <v>1302</v>
      </c>
      <c r="AB142" s="7">
        <f t="shared" si="166"/>
        <v>1184</v>
      </c>
      <c r="AC142" s="7">
        <f t="shared" si="166"/>
        <v>999</v>
      </c>
      <c r="AD142" s="7">
        <f t="shared" si="166"/>
        <v>1038</v>
      </c>
      <c r="AE142" s="7">
        <f t="shared" si="166"/>
        <v>751</v>
      </c>
      <c r="AF142" s="7">
        <f t="shared" si="166"/>
        <v>646</v>
      </c>
      <c r="AG142" s="7">
        <f t="shared" si="166"/>
        <v>504</v>
      </c>
      <c r="AH142" s="7">
        <f t="shared" si="166"/>
        <v>460</v>
      </c>
      <c r="AI142" s="7">
        <f t="shared" si="166"/>
        <v>408</v>
      </c>
      <c r="AJ142" s="7">
        <f t="shared" si="166"/>
        <v>376</v>
      </c>
      <c r="AK142" s="7">
        <f t="shared" si="166"/>
        <v>378</v>
      </c>
      <c r="AL142" s="7">
        <f t="shared" si="166"/>
        <v>333</v>
      </c>
      <c r="AM142" s="7">
        <f t="shared" si="166"/>
        <v>278</v>
      </c>
      <c r="AN142" s="7">
        <f t="shared" si="166"/>
        <v>188</v>
      </c>
      <c r="AO142" s="7">
        <f t="shared" si="166"/>
        <v>208</v>
      </c>
      <c r="AP142" s="7">
        <f t="shared" si="166"/>
        <v>186</v>
      </c>
      <c r="AQ142" s="7">
        <f t="shared" si="166"/>
        <v>161</v>
      </c>
      <c r="AR142" s="7">
        <f t="shared" si="166"/>
        <v>138</v>
      </c>
      <c r="AS142" s="7">
        <f t="shared" si="166"/>
        <v>105</v>
      </c>
      <c r="AT142" s="7">
        <f t="shared" si="166"/>
        <v>88</v>
      </c>
      <c r="AU142" s="7">
        <f t="shared" si="166"/>
        <v>93</v>
      </c>
      <c r="AV142" s="7">
        <f t="shared" si="166"/>
        <v>56</v>
      </c>
      <c r="AW142" s="7">
        <f t="shared" si="166"/>
        <v>56</v>
      </c>
      <c r="AX142" s="7">
        <f t="shared" si="166"/>
        <v>55</v>
      </c>
      <c r="AY142" s="7">
        <f t="shared" si="166"/>
        <v>47</v>
      </c>
      <c r="AZ142" s="7">
        <f t="shared" si="166"/>
        <v>69</v>
      </c>
      <c r="BA142" s="7">
        <f t="shared" si="166"/>
        <v>-14</v>
      </c>
      <c r="BB142" s="7">
        <f t="shared" si="166"/>
        <v>36</v>
      </c>
      <c r="BC142" s="7">
        <f t="shared" si="166"/>
        <v>4</v>
      </c>
      <c r="BD142" s="7">
        <f t="shared" si="166"/>
        <v>-3</v>
      </c>
      <c r="BE142" s="7">
        <f t="shared" si="166"/>
        <v>5</v>
      </c>
      <c r="BF142" s="7">
        <f t="shared" si="166"/>
        <v>-2</v>
      </c>
      <c r="BG142" s="7">
        <f t="shared" si="166"/>
        <v>-19</v>
      </c>
      <c r="BH142" s="7">
        <f t="shared" si="166"/>
        <v>-39</v>
      </c>
      <c r="BI142" s="7">
        <f t="shared" si="166"/>
        <v>-32</v>
      </c>
      <c r="BJ142" s="7">
        <f t="shared" si="166"/>
        <v>-27</v>
      </c>
      <c r="BK142" s="7">
        <f t="shared" si="166"/>
        <v>-47</v>
      </c>
      <c r="BL142" s="7">
        <f t="shared" si="166"/>
        <v>-34</v>
      </c>
      <c r="BM142" s="7">
        <f t="shared" si="166"/>
        <v>-35</v>
      </c>
      <c r="BN142" s="7">
        <f t="shared" si="166"/>
        <v>-36</v>
      </c>
      <c r="BO142" s="7">
        <f t="shared" ref="BO142:CZ142" si="167">BP68+BO93</f>
        <v>-57</v>
      </c>
      <c r="BP142" s="7">
        <f t="shared" si="167"/>
        <v>-22</v>
      </c>
      <c r="BQ142" s="7">
        <f t="shared" si="167"/>
        <v>-81</v>
      </c>
      <c r="BR142" s="7">
        <f t="shared" si="167"/>
        <v>-25</v>
      </c>
      <c r="BS142" s="7">
        <f t="shared" si="167"/>
        <v>-10</v>
      </c>
      <c r="BT142" s="7">
        <f t="shared" si="167"/>
        <v>18</v>
      </c>
      <c r="BU142" s="7">
        <f t="shared" si="167"/>
        <v>-19</v>
      </c>
      <c r="BV142" s="7">
        <f t="shared" si="167"/>
        <v>2</v>
      </c>
      <c r="BW142" s="7">
        <f t="shared" si="167"/>
        <v>7</v>
      </c>
      <c r="BX142" s="7">
        <f t="shared" si="167"/>
        <v>10</v>
      </c>
      <c r="BY142" s="7">
        <f t="shared" si="167"/>
        <v>9</v>
      </c>
      <c r="BZ142" s="7">
        <f t="shared" si="167"/>
        <v>30</v>
      </c>
      <c r="CA142" s="7">
        <f t="shared" si="167"/>
        <v>14</v>
      </c>
      <c r="CB142" s="7">
        <f t="shared" si="167"/>
        <v>30</v>
      </c>
      <c r="CC142" s="7">
        <f t="shared" si="167"/>
        <v>11</v>
      </c>
      <c r="CD142" s="7">
        <f t="shared" si="167"/>
        <v>6</v>
      </c>
      <c r="CE142" s="7">
        <f t="shared" si="167"/>
        <v>0</v>
      </c>
      <c r="CF142" s="7">
        <f t="shared" si="167"/>
        <v>7</v>
      </c>
      <c r="CG142" s="7">
        <f t="shared" si="167"/>
        <v>3</v>
      </c>
      <c r="CH142" s="7">
        <f t="shared" si="167"/>
        <v>2</v>
      </c>
      <c r="CI142" s="7">
        <f t="shared" si="167"/>
        <v>10</v>
      </c>
      <c r="CJ142" s="7">
        <f t="shared" si="167"/>
        <v>14</v>
      </c>
      <c r="CK142" s="7">
        <f t="shared" si="167"/>
        <v>-11</v>
      </c>
      <c r="CL142" s="7">
        <f t="shared" si="167"/>
        <v>4</v>
      </c>
      <c r="CM142" s="7">
        <f t="shared" si="167"/>
        <v>4</v>
      </c>
      <c r="CN142" s="7">
        <f t="shared" si="167"/>
        <v>-3</v>
      </c>
      <c r="CO142" s="7">
        <f t="shared" si="167"/>
        <v>-3</v>
      </c>
      <c r="CP142" s="7">
        <f t="shared" si="167"/>
        <v>2</v>
      </c>
      <c r="CQ142" s="7">
        <f t="shared" si="167"/>
        <v>-1</v>
      </c>
      <c r="CR142" s="7">
        <f t="shared" si="167"/>
        <v>-3</v>
      </c>
      <c r="CS142" s="7">
        <f t="shared" si="167"/>
        <v>-2</v>
      </c>
      <c r="CT142" s="7">
        <f t="shared" si="167"/>
        <v>3</v>
      </c>
      <c r="CU142" s="7">
        <f t="shared" si="167"/>
        <v>0</v>
      </c>
      <c r="CV142" s="7">
        <f t="shared" si="167"/>
        <v>-3</v>
      </c>
      <c r="CW142" s="7">
        <f t="shared" si="167"/>
        <v>0</v>
      </c>
      <c r="CX142" s="7">
        <f t="shared" si="167"/>
        <v>0</v>
      </c>
      <c r="CY142" s="7">
        <f t="shared" si="167"/>
        <v>0</v>
      </c>
      <c r="CZ142" s="7">
        <f t="shared" si="167"/>
        <v>0</v>
      </c>
    </row>
    <row r="143" spans="1:104" x14ac:dyDescent="0.3">
      <c r="A143" s="10">
        <v>2018</v>
      </c>
      <c r="C143" s="7">
        <f t="shared" ref="C143:BN143" si="168">D69+C94</f>
        <v>601</v>
      </c>
      <c r="D143" s="7">
        <f t="shared" si="168"/>
        <v>286</v>
      </c>
      <c r="E143" s="7">
        <f t="shared" si="168"/>
        <v>128</v>
      </c>
      <c r="F143" s="7">
        <f t="shared" si="168"/>
        <v>57</v>
      </c>
      <c r="G143" s="7">
        <f t="shared" si="168"/>
        <v>125</v>
      </c>
      <c r="H143" s="7">
        <f t="shared" si="168"/>
        <v>69</v>
      </c>
      <c r="I143" s="7">
        <f t="shared" si="168"/>
        <v>78</v>
      </c>
      <c r="J143" s="7">
        <f t="shared" si="168"/>
        <v>166</v>
      </c>
      <c r="K143" s="7">
        <f t="shared" si="168"/>
        <v>188</v>
      </c>
      <c r="L143" s="7">
        <f t="shared" si="168"/>
        <v>248</v>
      </c>
      <c r="M143" s="7">
        <f t="shared" si="168"/>
        <v>265</v>
      </c>
      <c r="N143" s="7">
        <f t="shared" si="168"/>
        <v>285</v>
      </c>
      <c r="O143" s="7">
        <f t="shared" si="168"/>
        <v>291</v>
      </c>
      <c r="P143" s="7">
        <f t="shared" si="168"/>
        <v>291</v>
      </c>
      <c r="Q143" s="7">
        <f t="shared" si="168"/>
        <v>280</v>
      </c>
      <c r="R143" s="7">
        <f t="shared" si="168"/>
        <v>384</v>
      </c>
      <c r="S143" s="7">
        <f t="shared" si="168"/>
        <v>373</v>
      </c>
      <c r="T143" s="7">
        <f t="shared" si="168"/>
        <v>462</v>
      </c>
      <c r="U143" s="7">
        <f t="shared" si="168"/>
        <v>234</v>
      </c>
      <c r="V143" s="7">
        <f t="shared" si="168"/>
        <v>375</v>
      </c>
      <c r="W143" s="7">
        <f t="shared" si="168"/>
        <v>490</v>
      </c>
      <c r="X143" s="7">
        <f t="shared" si="168"/>
        <v>693</v>
      </c>
      <c r="Y143" s="7">
        <f t="shared" si="168"/>
        <v>723</v>
      </c>
      <c r="Z143" s="7">
        <f t="shared" si="168"/>
        <v>922</v>
      </c>
      <c r="AA143" s="7">
        <f t="shared" si="168"/>
        <v>1098</v>
      </c>
      <c r="AB143" s="7">
        <f t="shared" si="168"/>
        <v>1108</v>
      </c>
      <c r="AC143" s="7">
        <f t="shared" si="168"/>
        <v>1125</v>
      </c>
      <c r="AD143" s="7">
        <f t="shared" si="168"/>
        <v>976</v>
      </c>
      <c r="AE143" s="7">
        <f t="shared" si="168"/>
        <v>760</v>
      </c>
      <c r="AF143" s="7">
        <f t="shared" si="168"/>
        <v>696</v>
      </c>
      <c r="AG143" s="7">
        <f t="shared" si="168"/>
        <v>574</v>
      </c>
      <c r="AH143" s="7">
        <f t="shared" si="168"/>
        <v>373</v>
      </c>
      <c r="AI143" s="7">
        <f t="shared" si="168"/>
        <v>410</v>
      </c>
      <c r="AJ143" s="7">
        <f t="shared" si="168"/>
        <v>261</v>
      </c>
      <c r="AK143" s="7">
        <f t="shared" si="168"/>
        <v>302</v>
      </c>
      <c r="AL143" s="7">
        <f t="shared" si="168"/>
        <v>232</v>
      </c>
      <c r="AM143" s="7">
        <f t="shared" si="168"/>
        <v>210</v>
      </c>
      <c r="AN143" s="7">
        <f t="shared" si="168"/>
        <v>195</v>
      </c>
      <c r="AO143" s="7">
        <f t="shared" si="168"/>
        <v>225</v>
      </c>
      <c r="AP143" s="7">
        <f t="shared" si="168"/>
        <v>190</v>
      </c>
      <c r="AQ143" s="7">
        <f t="shared" si="168"/>
        <v>107</v>
      </c>
      <c r="AR143" s="7">
        <f t="shared" si="168"/>
        <v>143</v>
      </c>
      <c r="AS143" s="7">
        <f t="shared" si="168"/>
        <v>215</v>
      </c>
      <c r="AT143" s="7">
        <f t="shared" si="168"/>
        <v>197</v>
      </c>
      <c r="AU143" s="7">
        <f t="shared" si="168"/>
        <v>71</v>
      </c>
      <c r="AV143" s="7">
        <f t="shared" si="168"/>
        <v>156</v>
      </c>
      <c r="AW143" s="7">
        <f t="shared" si="168"/>
        <v>119</v>
      </c>
      <c r="AX143" s="7">
        <f t="shared" si="168"/>
        <v>79</v>
      </c>
      <c r="AY143" s="7">
        <f t="shared" si="168"/>
        <v>40</v>
      </c>
      <c r="AZ143" s="7">
        <f t="shared" si="168"/>
        <v>38</v>
      </c>
      <c r="BA143" s="7">
        <f t="shared" si="168"/>
        <v>66</v>
      </c>
      <c r="BB143" s="7">
        <f t="shared" si="168"/>
        <v>52</v>
      </c>
      <c r="BC143" s="7">
        <f t="shared" si="168"/>
        <v>-23</v>
      </c>
      <c r="BD143" s="7">
        <f t="shared" si="168"/>
        <v>9</v>
      </c>
      <c r="BE143" s="7">
        <f t="shared" si="168"/>
        <v>-15</v>
      </c>
      <c r="BF143" s="7">
        <f t="shared" si="168"/>
        <v>38</v>
      </c>
      <c r="BG143" s="7">
        <f t="shared" si="168"/>
        <v>-23</v>
      </c>
      <c r="BH143" s="7">
        <f t="shared" si="168"/>
        <v>-41</v>
      </c>
      <c r="BI143" s="7">
        <f t="shared" si="168"/>
        <v>-38</v>
      </c>
      <c r="BJ143" s="7">
        <f t="shared" si="168"/>
        <v>-1</v>
      </c>
      <c r="BK143" s="7">
        <f t="shared" si="168"/>
        <v>-44</v>
      </c>
      <c r="BL143" s="7">
        <f t="shared" si="168"/>
        <v>-25</v>
      </c>
      <c r="BM143" s="7">
        <f t="shared" si="168"/>
        <v>-72</v>
      </c>
      <c r="BN143" s="7">
        <f t="shared" si="168"/>
        <v>-34</v>
      </c>
      <c r="BO143" s="7">
        <f t="shared" ref="BO143:CZ143" si="169">BP69+BO94</f>
        <v>-37</v>
      </c>
      <c r="BP143" s="7">
        <f t="shared" si="169"/>
        <v>-8</v>
      </c>
      <c r="BQ143" s="7">
        <f t="shared" si="169"/>
        <v>-32</v>
      </c>
      <c r="BR143" s="7">
        <f t="shared" si="169"/>
        <v>3</v>
      </c>
      <c r="BS143" s="7">
        <f t="shared" si="169"/>
        <v>7</v>
      </c>
      <c r="BT143" s="7">
        <f t="shared" si="169"/>
        <v>7</v>
      </c>
      <c r="BU143" s="7">
        <f t="shared" si="169"/>
        <v>8</v>
      </c>
      <c r="BV143" s="7">
        <f t="shared" si="169"/>
        <v>20</v>
      </c>
      <c r="BW143" s="7">
        <f t="shared" si="169"/>
        <v>16</v>
      </c>
      <c r="BX143" s="7">
        <f t="shared" si="169"/>
        <v>22</v>
      </c>
      <c r="BY143" s="7">
        <f t="shared" si="169"/>
        <v>7</v>
      </c>
      <c r="BZ143" s="7">
        <f t="shared" si="169"/>
        <v>31</v>
      </c>
      <c r="CA143" s="7">
        <f t="shared" si="169"/>
        <v>3</v>
      </c>
      <c r="CB143" s="7">
        <f t="shared" si="169"/>
        <v>36</v>
      </c>
      <c r="CC143" s="7">
        <f t="shared" si="169"/>
        <v>18</v>
      </c>
      <c r="CD143" s="7">
        <f t="shared" si="169"/>
        <v>10</v>
      </c>
      <c r="CE143" s="7">
        <f t="shared" si="169"/>
        <v>8</v>
      </c>
      <c r="CF143" s="7">
        <f t="shared" si="169"/>
        <v>-1</v>
      </c>
      <c r="CG143" s="7">
        <f t="shared" si="169"/>
        <v>12</v>
      </c>
      <c r="CH143" s="7">
        <f t="shared" si="169"/>
        <v>1</v>
      </c>
      <c r="CI143" s="7">
        <f t="shared" si="169"/>
        <v>15</v>
      </c>
      <c r="CJ143" s="7">
        <f t="shared" si="169"/>
        <v>0</v>
      </c>
      <c r="CK143" s="7">
        <f t="shared" si="169"/>
        <v>7</v>
      </c>
      <c r="CL143" s="7">
        <f t="shared" si="169"/>
        <v>3</v>
      </c>
      <c r="CM143" s="7">
        <f t="shared" si="169"/>
        <v>0</v>
      </c>
      <c r="CN143" s="7">
        <f t="shared" si="169"/>
        <v>5</v>
      </c>
      <c r="CO143" s="7">
        <f t="shared" si="169"/>
        <v>-1</v>
      </c>
      <c r="CP143" s="7">
        <f t="shared" si="169"/>
        <v>6</v>
      </c>
      <c r="CQ143" s="7">
        <f t="shared" si="169"/>
        <v>-2</v>
      </c>
      <c r="CR143" s="7">
        <f t="shared" si="169"/>
        <v>2</v>
      </c>
      <c r="CS143" s="7">
        <f t="shared" si="169"/>
        <v>-1</v>
      </c>
      <c r="CT143" s="7">
        <f t="shared" si="169"/>
        <v>0</v>
      </c>
      <c r="CU143" s="7">
        <f t="shared" si="169"/>
        <v>0</v>
      </c>
      <c r="CV143" s="7">
        <f t="shared" si="169"/>
        <v>2</v>
      </c>
      <c r="CW143" s="7">
        <f t="shared" si="169"/>
        <v>0</v>
      </c>
      <c r="CX143" s="7">
        <f t="shared" si="169"/>
        <v>1</v>
      </c>
      <c r="CY143" s="7">
        <f t="shared" si="169"/>
        <v>-1</v>
      </c>
      <c r="CZ143" s="7">
        <f t="shared" si="169"/>
        <v>0</v>
      </c>
    </row>
    <row r="144" spans="1:104" x14ac:dyDescent="0.3">
      <c r="A144" s="10">
        <v>2019</v>
      </c>
      <c r="C144" s="7">
        <f t="shared" ref="C144:BN144" si="170">D70+C95</f>
        <v>640</v>
      </c>
      <c r="D144" s="7">
        <f t="shared" si="170"/>
        <v>341</v>
      </c>
      <c r="E144" s="7">
        <f t="shared" si="170"/>
        <v>181</v>
      </c>
      <c r="F144" s="7">
        <f t="shared" si="170"/>
        <v>218</v>
      </c>
      <c r="G144" s="7">
        <f t="shared" si="170"/>
        <v>134</v>
      </c>
      <c r="H144" s="7">
        <f t="shared" si="170"/>
        <v>119</v>
      </c>
      <c r="I144" s="7">
        <f t="shared" si="170"/>
        <v>170</v>
      </c>
      <c r="J144" s="7">
        <f t="shared" si="170"/>
        <v>262</v>
      </c>
      <c r="K144" s="7">
        <f t="shared" si="170"/>
        <v>176</v>
      </c>
      <c r="L144" s="7">
        <f t="shared" si="170"/>
        <v>272</v>
      </c>
      <c r="M144" s="7">
        <f t="shared" si="170"/>
        <v>286</v>
      </c>
      <c r="N144" s="7">
        <f t="shared" si="170"/>
        <v>251</v>
      </c>
      <c r="O144" s="7">
        <f t="shared" si="170"/>
        <v>295</v>
      </c>
      <c r="P144" s="7">
        <f t="shared" si="170"/>
        <v>248</v>
      </c>
      <c r="Q144" s="7">
        <f t="shared" si="170"/>
        <v>254</v>
      </c>
      <c r="R144" s="7">
        <f t="shared" si="170"/>
        <v>391</v>
      </c>
      <c r="S144" s="7">
        <f t="shared" si="170"/>
        <v>329</v>
      </c>
      <c r="T144" s="7">
        <f t="shared" si="170"/>
        <v>400</v>
      </c>
      <c r="U144" s="7">
        <f t="shared" si="170"/>
        <v>249</v>
      </c>
      <c r="V144" s="7">
        <f t="shared" si="170"/>
        <v>258</v>
      </c>
      <c r="W144" s="7">
        <f t="shared" si="170"/>
        <v>325</v>
      </c>
      <c r="X144" s="7">
        <f t="shared" si="170"/>
        <v>420</v>
      </c>
      <c r="Y144" s="7">
        <f t="shared" si="170"/>
        <v>775</v>
      </c>
      <c r="Z144" s="7">
        <f t="shared" si="170"/>
        <v>1048</v>
      </c>
      <c r="AA144" s="7">
        <f t="shared" si="170"/>
        <v>1219</v>
      </c>
      <c r="AB144" s="7">
        <f t="shared" si="170"/>
        <v>1291</v>
      </c>
      <c r="AC144" s="7">
        <f t="shared" si="170"/>
        <v>1384</v>
      </c>
      <c r="AD144" s="7">
        <f t="shared" si="170"/>
        <v>1232</v>
      </c>
      <c r="AE144" s="7">
        <f t="shared" si="170"/>
        <v>1211</v>
      </c>
      <c r="AF144" s="7">
        <f t="shared" si="170"/>
        <v>1077</v>
      </c>
      <c r="AG144" s="7">
        <f t="shared" si="170"/>
        <v>1003</v>
      </c>
      <c r="AH144" s="7">
        <f t="shared" si="170"/>
        <v>841</v>
      </c>
      <c r="AI144" s="7">
        <f t="shared" si="170"/>
        <v>856</v>
      </c>
      <c r="AJ144" s="7">
        <f t="shared" si="170"/>
        <v>737</v>
      </c>
      <c r="AK144" s="7">
        <f t="shared" si="170"/>
        <v>630</v>
      </c>
      <c r="AL144" s="7">
        <f t="shared" si="170"/>
        <v>629</v>
      </c>
      <c r="AM144" s="7">
        <f t="shared" si="170"/>
        <v>501</v>
      </c>
      <c r="AN144" s="7">
        <f t="shared" si="170"/>
        <v>493</v>
      </c>
      <c r="AO144" s="7">
        <f t="shared" si="170"/>
        <v>417</v>
      </c>
      <c r="AP144" s="7">
        <f t="shared" si="170"/>
        <v>362</v>
      </c>
      <c r="AQ144" s="7">
        <f t="shared" si="170"/>
        <v>302</v>
      </c>
      <c r="AR144" s="7">
        <f t="shared" si="170"/>
        <v>356</v>
      </c>
      <c r="AS144" s="7">
        <f t="shared" si="170"/>
        <v>316</v>
      </c>
      <c r="AT144" s="7">
        <f t="shared" si="170"/>
        <v>253</v>
      </c>
      <c r="AU144" s="7">
        <f t="shared" si="170"/>
        <v>274</v>
      </c>
      <c r="AV144" s="7">
        <f t="shared" si="170"/>
        <v>298</v>
      </c>
      <c r="AW144" s="7">
        <f t="shared" si="170"/>
        <v>268</v>
      </c>
      <c r="AX144" s="7">
        <f t="shared" si="170"/>
        <v>237</v>
      </c>
      <c r="AY144" s="7">
        <f t="shared" si="170"/>
        <v>156</v>
      </c>
      <c r="AZ144" s="7">
        <f t="shared" si="170"/>
        <v>193</v>
      </c>
      <c r="BA144" s="7">
        <f t="shared" si="170"/>
        <v>122</v>
      </c>
      <c r="BB144" s="7">
        <f t="shared" si="170"/>
        <v>91</v>
      </c>
      <c r="BC144" s="7">
        <f t="shared" si="170"/>
        <v>104</v>
      </c>
      <c r="BD144" s="7">
        <f t="shared" si="170"/>
        <v>100</v>
      </c>
      <c r="BE144" s="7">
        <f t="shared" si="170"/>
        <v>64</v>
      </c>
      <c r="BF144" s="7">
        <f t="shared" si="170"/>
        <v>54</v>
      </c>
      <c r="BG144" s="7">
        <f t="shared" si="170"/>
        <v>2</v>
      </c>
      <c r="BH144" s="7">
        <f t="shared" si="170"/>
        <v>34</v>
      </c>
      <c r="BI144" s="7">
        <f t="shared" si="170"/>
        <v>18</v>
      </c>
      <c r="BJ144" s="7">
        <f t="shared" si="170"/>
        <v>10</v>
      </c>
      <c r="BK144" s="7">
        <f t="shared" si="170"/>
        <v>-16</v>
      </c>
      <c r="BL144" s="7">
        <f t="shared" si="170"/>
        <v>-5</v>
      </c>
      <c r="BM144" s="7">
        <f t="shared" si="170"/>
        <v>-35</v>
      </c>
      <c r="BN144" s="7">
        <f t="shared" si="170"/>
        <v>-36</v>
      </c>
      <c r="BO144" s="7">
        <f t="shared" ref="BO144:CZ144" si="171">BP70+BO95</f>
        <v>-7</v>
      </c>
      <c r="BP144" s="7">
        <f t="shared" si="171"/>
        <v>-16</v>
      </c>
      <c r="BQ144" s="7">
        <f t="shared" si="171"/>
        <v>-74</v>
      </c>
      <c r="BR144" s="7">
        <f t="shared" si="171"/>
        <v>-27</v>
      </c>
      <c r="BS144" s="7">
        <f t="shared" si="171"/>
        <v>-6</v>
      </c>
      <c r="BT144" s="7">
        <f t="shared" si="171"/>
        <v>-14</v>
      </c>
      <c r="BU144" s="7">
        <f t="shared" si="171"/>
        <v>-7</v>
      </c>
      <c r="BV144" s="7">
        <f t="shared" si="171"/>
        <v>18</v>
      </c>
      <c r="BW144" s="7">
        <f t="shared" si="171"/>
        <v>4</v>
      </c>
      <c r="BX144" s="7">
        <f t="shared" si="171"/>
        <v>-3</v>
      </c>
      <c r="BY144" s="7">
        <f t="shared" si="171"/>
        <v>24</v>
      </c>
      <c r="BZ144" s="7">
        <f t="shared" si="171"/>
        <v>6</v>
      </c>
      <c r="CA144" s="7">
        <f t="shared" si="171"/>
        <v>22</v>
      </c>
      <c r="CB144" s="7">
        <f t="shared" si="171"/>
        <v>12</v>
      </c>
      <c r="CC144" s="7">
        <f t="shared" si="171"/>
        <v>17</v>
      </c>
      <c r="CD144" s="7">
        <f t="shared" si="171"/>
        <v>14</v>
      </c>
      <c r="CE144" s="7">
        <f t="shared" si="171"/>
        <v>12</v>
      </c>
      <c r="CF144" s="7">
        <f t="shared" si="171"/>
        <v>15</v>
      </c>
      <c r="CG144" s="7">
        <f t="shared" si="171"/>
        <v>6</v>
      </c>
      <c r="CH144" s="7">
        <f t="shared" si="171"/>
        <v>14</v>
      </c>
      <c r="CI144" s="7">
        <f t="shared" si="171"/>
        <v>1</v>
      </c>
      <c r="CJ144" s="7">
        <f t="shared" si="171"/>
        <v>9</v>
      </c>
      <c r="CK144" s="7">
        <f t="shared" si="171"/>
        <v>2</v>
      </c>
      <c r="CL144" s="7">
        <f t="shared" si="171"/>
        <v>9</v>
      </c>
      <c r="CM144" s="7">
        <f t="shared" si="171"/>
        <v>10</v>
      </c>
      <c r="CN144" s="7">
        <f t="shared" si="171"/>
        <v>-3</v>
      </c>
      <c r="CO144" s="7">
        <f t="shared" si="171"/>
        <v>3</v>
      </c>
      <c r="CP144" s="7">
        <f t="shared" si="171"/>
        <v>4</v>
      </c>
      <c r="CQ144" s="7">
        <f t="shared" si="171"/>
        <v>-2</v>
      </c>
      <c r="CR144" s="7">
        <f t="shared" si="171"/>
        <v>3</v>
      </c>
      <c r="CS144" s="7">
        <f t="shared" si="171"/>
        <v>-2</v>
      </c>
      <c r="CT144" s="7">
        <f t="shared" si="171"/>
        <v>-3</v>
      </c>
      <c r="CU144" s="7">
        <f t="shared" si="171"/>
        <v>1</v>
      </c>
      <c r="CV144" s="7">
        <f t="shared" si="171"/>
        <v>-1</v>
      </c>
      <c r="CW144" s="7">
        <f t="shared" si="171"/>
        <v>2</v>
      </c>
      <c r="CX144" s="7">
        <f t="shared" si="171"/>
        <v>-1</v>
      </c>
      <c r="CY144" s="7">
        <f t="shared" si="171"/>
        <v>0</v>
      </c>
      <c r="CZ144" s="7">
        <f t="shared" si="171"/>
        <v>0</v>
      </c>
    </row>
    <row r="145" spans="1:104" x14ac:dyDescent="0.3">
      <c r="A145" s="10">
        <v>2020</v>
      </c>
      <c r="C145" s="7">
        <f t="shared" ref="C145:BN145" si="172">D71+C96</f>
        <v>413</v>
      </c>
      <c r="D145" s="7">
        <f t="shared" si="172"/>
        <v>136</v>
      </c>
      <c r="E145" s="7">
        <f t="shared" si="172"/>
        <v>59</v>
      </c>
      <c r="F145" s="7">
        <f t="shared" si="172"/>
        <v>5</v>
      </c>
      <c r="G145" s="7">
        <f t="shared" si="172"/>
        <v>-13</v>
      </c>
      <c r="H145" s="7">
        <f t="shared" si="172"/>
        <v>-57</v>
      </c>
      <c r="I145" s="7">
        <f t="shared" si="172"/>
        <v>63</v>
      </c>
      <c r="J145" s="7">
        <f t="shared" si="172"/>
        <v>69</v>
      </c>
      <c r="K145" s="7">
        <f t="shared" si="172"/>
        <v>89</v>
      </c>
      <c r="L145" s="7">
        <f t="shared" si="172"/>
        <v>78</v>
      </c>
      <c r="M145" s="7">
        <f t="shared" si="172"/>
        <v>106</v>
      </c>
      <c r="N145" s="7">
        <f t="shared" si="172"/>
        <v>216</v>
      </c>
      <c r="O145" s="7">
        <f t="shared" si="172"/>
        <v>162</v>
      </c>
      <c r="P145" s="7">
        <f t="shared" si="172"/>
        <v>161</v>
      </c>
      <c r="Q145" s="7">
        <f t="shared" si="172"/>
        <v>185</v>
      </c>
      <c r="R145" s="7">
        <f t="shared" si="172"/>
        <v>209</v>
      </c>
      <c r="S145" s="7">
        <f t="shared" si="172"/>
        <v>238</v>
      </c>
      <c r="T145" s="7">
        <f t="shared" si="172"/>
        <v>318</v>
      </c>
      <c r="U145" s="7">
        <f t="shared" si="172"/>
        <v>215</v>
      </c>
      <c r="V145" s="7">
        <f t="shared" si="172"/>
        <v>6</v>
      </c>
      <c r="W145" s="7">
        <f t="shared" si="172"/>
        <v>144</v>
      </c>
      <c r="X145" s="7">
        <f t="shared" si="172"/>
        <v>221</v>
      </c>
      <c r="Y145" s="7">
        <f t="shared" si="172"/>
        <v>339</v>
      </c>
      <c r="Z145" s="7">
        <f t="shared" si="172"/>
        <v>503</v>
      </c>
      <c r="AA145" s="7">
        <f t="shared" si="172"/>
        <v>722</v>
      </c>
      <c r="AB145" s="7">
        <f t="shared" si="172"/>
        <v>862</v>
      </c>
      <c r="AC145" s="7">
        <f t="shared" si="172"/>
        <v>849</v>
      </c>
      <c r="AD145" s="7">
        <f t="shared" si="172"/>
        <v>624</v>
      </c>
      <c r="AE145" s="7">
        <f t="shared" si="172"/>
        <v>629</v>
      </c>
      <c r="AF145" s="7">
        <f t="shared" si="172"/>
        <v>471</v>
      </c>
      <c r="AG145" s="7">
        <f t="shared" si="172"/>
        <v>311</v>
      </c>
      <c r="AH145" s="7">
        <f t="shared" si="172"/>
        <v>398</v>
      </c>
      <c r="AI145" s="7">
        <f t="shared" si="172"/>
        <v>246</v>
      </c>
      <c r="AJ145" s="7">
        <f t="shared" si="172"/>
        <v>297</v>
      </c>
      <c r="AK145" s="7">
        <f t="shared" si="172"/>
        <v>223</v>
      </c>
      <c r="AL145" s="7">
        <f t="shared" si="172"/>
        <v>78</v>
      </c>
      <c r="AM145" s="7">
        <f t="shared" si="172"/>
        <v>121</v>
      </c>
      <c r="AN145" s="7">
        <f t="shared" si="172"/>
        <v>104</v>
      </c>
      <c r="AO145" s="7">
        <f t="shared" si="172"/>
        <v>190</v>
      </c>
      <c r="AP145" s="7">
        <f t="shared" si="172"/>
        <v>121</v>
      </c>
      <c r="AQ145" s="7">
        <f t="shared" si="172"/>
        <v>103</v>
      </c>
      <c r="AR145" s="7">
        <f t="shared" si="172"/>
        <v>102</v>
      </c>
      <c r="AS145" s="7">
        <f t="shared" si="172"/>
        <v>145</v>
      </c>
      <c r="AT145" s="7">
        <f t="shared" si="172"/>
        <v>36</v>
      </c>
      <c r="AU145" s="7">
        <f t="shared" si="172"/>
        <v>166</v>
      </c>
      <c r="AV145" s="7">
        <f t="shared" si="172"/>
        <v>128</v>
      </c>
      <c r="AW145" s="7">
        <f t="shared" si="172"/>
        <v>112</v>
      </c>
      <c r="AX145" s="7">
        <f t="shared" si="172"/>
        <v>51</v>
      </c>
      <c r="AY145" s="7">
        <f t="shared" si="172"/>
        <v>58</v>
      </c>
      <c r="AZ145" s="7">
        <f t="shared" si="172"/>
        <v>75</v>
      </c>
      <c r="BA145" s="7">
        <f t="shared" si="172"/>
        <v>54</v>
      </c>
      <c r="BB145" s="7">
        <f t="shared" si="172"/>
        <v>42</v>
      </c>
      <c r="BC145" s="7">
        <f t="shared" si="172"/>
        <v>42</v>
      </c>
      <c r="BD145" s="7">
        <f t="shared" si="172"/>
        <v>36</v>
      </c>
      <c r="BE145" s="7">
        <f t="shared" si="172"/>
        <v>38</v>
      </c>
      <c r="BF145" s="7">
        <f t="shared" si="172"/>
        <v>18</v>
      </c>
      <c r="BG145" s="7">
        <f t="shared" si="172"/>
        <v>30</v>
      </c>
      <c r="BH145" s="7">
        <f t="shared" si="172"/>
        <v>18</v>
      </c>
      <c r="BI145" s="7">
        <f t="shared" si="172"/>
        <v>-23</v>
      </c>
      <c r="BJ145" s="7">
        <f t="shared" si="172"/>
        <v>-5</v>
      </c>
      <c r="BK145" s="7">
        <f t="shared" si="172"/>
        <v>3</v>
      </c>
      <c r="BL145" s="7">
        <f t="shared" si="172"/>
        <v>-19</v>
      </c>
      <c r="BM145" s="7">
        <f t="shared" si="172"/>
        <v>-37</v>
      </c>
      <c r="BN145" s="7">
        <f t="shared" si="172"/>
        <v>-45</v>
      </c>
      <c r="BO145" s="7">
        <f t="shared" ref="BO145:CZ145" si="173">BP71+BO96</f>
        <v>-64</v>
      </c>
      <c r="BP145" s="7">
        <f t="shared" si="173"/>
        <v>-28</v>
      </c>
      <c r="BQ145" s="7">
        <f t="shared" si="173"/>
        <v>-56</v>
      </c>
      <c r="BR145" s="7">
        <f t="shared" si="173"/>
        <v>-12</v>
      </c>
      <c r="BS145" s="7">
        <f t="shared" si="173"/>
        <v>-45</v>
      </c>
      <c r="BT145" s="7">
        <f t="shared" si="173"/>
        <v>-23</v>
      </c>
      <c r="BU145" s="7">
        <f t="shared" si="173"/>
        <v>-11</v>
      </c>
      <c r="BV145" s="7">
        <f t="shared" si="173"/>
        <v>23</v>
      </c>
      <c r="BW145" s="7">
        <f t="shared" si="173"/>
        <v>9</v>
      </c>
      <c r="BX145" s="7">
        <f t="shared" si="173"/>
        <v>20</v>
      </c>
      <c r="BY145" s="7">
        <f t="shared" si="173"/>
        <v>14</v>
      </c>
      <c r="BZ145" s="7">
        <f t="shared" si="173"/>
        <v>26</v>
      </c>
      <c r="CA145" s="7">
        <f t="shared" si="173"/>
        <v>19</v>
      </c>
      <c r="CB145" s="7">
        <f t="shared" si="173"/>
        <v>11</v>
      </c>
      <c r="CC145" s="7">
        <f t="shared" si="173"/>
        <v>3</v>
      </c>
      <c r="CD145" s="7">
        <f t="shared" si="173"/>
        <v>7</v>
      </c>
      <c r="CE145" s="7">
        <f t="shared" si="173"/>
        <v>7</v>
      </c>
      <c r="CF145" s="7">
        <f t="shared" si="173"/>
        <v>12</v>
      </c>
      <c r="CG145" s="7">
        <f t="shared" si="173"/>
        <v>16</v>
      </c>
      <c r="CH145" s="7">
        <f t="shared" si="173"/>
        <v>7</v>
      </c>
      <c r="CI145" s="7">
        <f t="shared" si="173"/>
        <v>7</v>
      </c>
      <c r="CJ145" s="7">
        <f t="shared" si="173"/>
        <v>5</v>
      </c>
      <c r="CK145" s="7">
        <f t="shared" si="173"/>
        <v>5</v>
      </c>
      <c r="CL145" s="7">
        <f t="shared" si="173"/>
        <v>1</v>
      </c>
      <c r="CM145" s="7">
        <f t="shared" si="173"/>
        <v>-1</v>
      </c>
      <c r="CN145" s="7">
        <f t="shared" si="173"/>
        <v>-2</v>
      </c>
      <c r="CO145" s="7">
        <f t="shared" si="173"/>
        <v>4</v>
      </c>
      <c r="CP145" s="7">
        <f t="shared" si="173"/>
        <v>-6</v>
      </c>
      <c r="CQ145" s="7">
        <f t="shared" si="173"/>
        <v>1</v>
      </c>
      <c r="CR145" s="7">
        <f t="shared" si="173"/>
        <v>5</v>
      </c>
      <c r="CS145" s="7">
        <f t="shared" si="173"/>
        <v>-3</v>
      </c>
      <c r="CT145" s="7">
        <f t="shared" si="173"/>
        <v>-1</v>
      </c>
      <c r="CU145" s="7">
        <f t="shared" si="173"/>
        <v>-3</v>
      </c>
      <c r="CV145" s="7">
        <f t="shared" si="173"/>
        <v>2</v>
      </c>
      <c r="CW145" s="7">
        <f t="shared" si="173"/>
        <v>-2</v>
      </c>
      <c r="CX145" s="7">
        <f t="shared" si="173"/>
        <v>-1</v>
      </c>
      <c r="CY145" s="7">
        <f t="shared" si="173"/>
        <v>1</v>
      </c>
      <c r="CZ145" s="7">
        <f t="shared" si="173"/>
        <v>0</v>
      </c>
    </row>
    <row r="146" spans="1:104" x14ac:dyDescent="0.3">
      <c r="A146" s="10">
        <v>2021</v>
      </c>
      <c r="C146" s="7">
        <f t="shared" ref="C146:BN146" si="174">D72+C97</f>
        <v>555</v>
      </c>
      <c r="D146" s="7">
        <f t="shared" si="174"/>
        <v>331</v>
      </c>
      <c r="E146" s="7">
        <f t="shared" si="174"/>
        <v>154</v>
      </c>
      <c r="F146" s="7">
        <f t="shared" si="174"/>
        <v>135</v>
      </c>
      <c r="G146" s="7">
        <f t="shared" si="174"/>
        <v>130</v>
      </c>
      <c r="H146" s="7">
        <f t="shared" si="174"/>
        <v>-7</v>
      </c>
      <c r="I146" s="7">
        <f t="shared" si="174"/>
        <v>158</v>
      </c>
      <c r="J146" s="7">
        <f t="shared" si="174"/>
        <v>100</v>
      </c>
      <c r="K146" s="7">
        <f t="shared" si="174"/>
        <v>175</v>
      </c>
      <c r="L146" s="7">
        <f t="shared" si="174"/>
        <v>166</v>
      </c>
      <c r="M146" s="7">
        <f t="shared" si="174"/>
        <v>233</v>
      </c>
      <c r="N146" s="7">
        <f t="shared" si="174"/>
        <v>182</v>
      </c>
      <c r="O146" s="7">
        <f t="shared" si="174"/>
        <v>257</v>
      </c>
      <c r="P146" s="7">
        <f t="shared" si="174"/>
        <v>234</v>
      </c>
      <c r="Q146" s="7">
        <f t="shared" si="174"/>
        <v>301</v>
      </c>
      <c r="R146" s="7">
        <f t="shared" si="174"/>
        <v>330</v>
      </c>
      <c r="S146" s="7">
        <f t="shared" si="174"/>
        <v>295</v>
      </c>
      <c r="T146" s="7">
        <f t="shared" si="174"/>
        <v>404</v>
      </c>
      <c r="U146" s="7">
        <f t="shared" si="174"/>
        <v>265</v>
      </c>
      <c r="V146" s="7">
        <f t="shared" si="174"/>
        <v>309</v>
      </c>
      <c r="W146" s="7">
        <f t="shared" si="174"/>
        <v>473</v>
      </c>
      <c r="X146" s="7">
        <f t="shared" si="174"/>
        <v>418</v>
      </c>
      <c r="Y146" s="7">
        <f t="shared" si="174"/>
        <v>833</v>
      </c>
      <c r="Z146" s="7">
        <f t="shared" si="174"/>
        <v>1232</v>
      </c>
      <c r="AA146" s="7">
        <f t="shared" si="174"/>
        <v>1401</v>
      </c>
      <c r="AB146" s="7">
        <f t="shared" si="174"/>
        <v>1441</v>
      </c>
      <c r="AC146" s="7">
        <f t="shared" si="174"/>
        <v>1120</v>
      </c>
      <c r="AD146" s="7">
        <f t="shared" si="174"/>
        <v>1165</v>
      </c>
      <c r="AE146" s="7">
        <f t="shared" si="174"/>
        <v>1009</v>
      </c>
      <c r="AF146" s="7">
        <f t="shared" si="174"/>
        <v>810</v>
      </c>
      <c r="AG146" s="7">
        <f t="shared" si="174"/>
        <v>702</v>
      </c>
      <c r="AH146" s="7">
        <f t="shared" si="174"/>
        <v>525</v>
      </c>
      <c r="AI146" s="7">
        <f t="shared" si="174"/>
        <v>484</v>
      </c>
      <c r="AJ146" s="7">
        <f t="shared" si="174"/>
        <v>386</v>
      </c>
      <c r="AK146" s="7">
        <f t="shared" si="174"/>
        <v>258</v>
      </c>
      <c r="AL146" s="7">
        <f t="shared" si="174"/>
        <v>328</v>
      </c>
      <c r="AM146" s="7">
        <f t="shared" si="174"/>
        <v>187</v>
      </c>
      <c r="AN146" s="7">
        <f t="shared" si="174"/>
        <v>185</v>
      </c>
      <c r="AO146" s="7">
        <f t="shared" si="174"/>
        <v>190</v>
      </c>
      <c r="AP146" s="7">
        <f t="shared" si="174"/>
        <v>157</v>
      </c>
      <c r="AQ146" s="7">
        <f t="shared" si="174"/>
        <v>155</v>
      </c>
      <c r="AR146" s="7">
        <f t="shared" si="174"/>
        <v>109</v>
      </c>
      <c r="AS146" s="7">
        <f t="shared" si="174"/>
        <v>170</v>
      </c>
      <c r="AT146" s="7">
        <f t="shared" si="174"/>
        <v>150</v>
      </c>
      <c r="AU146" s="7">
        <f t="shared" si="174"/>
        <v>113</v>
      </c>
      <c r="AV146" s="7">
        <f t="shared" si="174"/>
        <v>180</v>
      </c>
      <c r="AW146" s="7">
        <f t="shared" si="174"/>
        <v>143</v>
      </c>
      <c r="AX146" s="7">
        <f t="shared" si="174"/>
        <v>49</v>
      </c>
      <c r="AY146" s="7">
        <f t="shared" si="174"/>
        <v>125</v>
      </c>
      <c r="AZ146" s="7">
        <f t="shared" si="174"/>
        <v>162</v>
      </c>
      <c r="BA146" s="7">
        <f t="shared" si="174"/>
        <v>121</v>
      </c>
      <c r="BB146" s="7">
        <f t="shared" si="174"/>
        <v>75</v>
      </c>
      <c r="BC146" s="7">
        <f t="shared" si="174"/>
        <v>101</v>
      </c>
      <c r="BD146" s="7">
        <f t="shared" si="174"/>
        <v>52</v>
      </c>
      <c r="BE146" s="7">
        <f t="shared" si="174"/>
        <v>-14</v>
      </c>
      <c r="BF146" s="7">
        <f t="shared" si="174"/>
        <v>-5</v>
      </c>
      <c r="BG146" s="7">
        <f t="shared" si="174"/>
        <v>-6</v>
      </c>
      <c r="BH146" s="7">
        <f t="shared" si="174"/>
        <v>1</v>
      </c>
      <c r="BI146" s="7">
        <f t="shared" si="174"/>
        <v>26</v>
      </c>
      <c r="BJ146" s="7">
        <f t="shared" si="174"/>
        <v>4</v>
      </c>
      <c r="BK146" s="7">
        <f t="shared" si="174"/>
        <v>-8</v>
      </c>
      <c r="BL146" s="7">
        <f t="shared" si="174"/>
        <v>-54</v>
      </c>
      <c r="BM146" s="7">
        <f t="shared" si="174"/>
        <v>-47</v>
      </c>
      <c r="BN146" s="7">
        <f t="shared" si="174"/>
        <v>-39</v>
      </c>
      <c r="BO146" s="7">
        <f t="shared" ref="BO146:CZ146" si="175">BP72+BO97</f>
        <v>-44</v>
      </c>
      <c r="BP146" s="7">
        <f t="shared" si="175"/>
        <v>-76</v>
      </c>
      <c r="BQ146" s="7">
        <f t="shared" si="175"/>
        <v>-79</v>
      </c>
      <c r="BR146" s="7">
        <f t="shared" si="175"/>
        <v>-63</v>
      </c>
      <c r="BS146" s="7">
        <f t="shared" si="175"/>
        <v>-21</v>
      </c>
      <c r="BT146" s="7">
        <f t="shared" si="175"/>
        <v>4</v>
      </c>
      <c r="BU146" s="7">
        <f t="shared" si="175"/>
        <v>-2</v>
      </c>
      <c r="BV146" s="7">
        <f t="shared" si="175"/>
        <v>-5</v>
      </c>
      <c r="BW146" s="7">
        <f t="shared" si="175"/>
        <v>-6</v>
      </c>
      <c r="BX146" s="7">
        <f t="shared" si="175"/>
        <v>23</v>
      </c>
      <c r="BY146" s="7">
        <f t="shared" si="175"/>
        <v>-10</v>
      </c>
      <c r="BZ146" s="7">
        <f t="shared" si="175"/>
        <v>18</v>
      </c>
      <c r="CA146" s="7">
        <f t="shared" si="175"/>
        <v>-1</v>
      </c>
      <c r="CB146" s="7">
        <f t="shared" si="175"/>
        <v>19</v>
      </c>
      <c r="CC146" s="7">
        <f t="shared" si="175"/>
        <v>7</v>
      </c>
      <c r="CD146" s="7">
        <f t="shared" si="175"/>
        <v>7</v>
      </c>
      <c r="CE146" s="7">
        <f t="shared" si="175"/>
        <v>9</v>
      </c>
      <c r="CF146" s="7">
        <f t="shared" si="175"/>
        <v>-2</v>
      </c>
      <c r="CG146" s="7">
        <f t="shared" si="175"/>
        <v>14</v>
      </c>
      <c r="CH146" s="7">
        <f t="shared" si="175"/>
        <v>-10</v>
      </c>
      <c r="CI146" s="7">
        <f t="shared" si="175"/>
        <v>18</v>
      </c>
      <c r="CJ146" s="7">
        <f t="shared" si="175"/>
        <v>0</v>
      </c>
      <c r="CK146" s="7">
        <f t="shared" si="175"/>
        <v>0</v>
      </c>
      <c r="CL146" s="7">
        <f t="shared" si="175"/>
        <v>-8</v>
      </c>
      <c r="CM146" s="7">
        <f t="shared" si="175"/>
        <v>3</v>
      </c>
      <c r="CN146" s="7">
        <f t="shared" si="175"/>
        <v>-1</v>
      </c>
      <c r="CO146" s="7">
        <f t="shared" si="175"/>
        <v>-2</v>
      </c>
      <c r="CP146" s="7">
        <f t="shared" si="175"/>
        <v>-2</v>
      </c>
      <c r="CQ146" s="7">
        <f t="shared" si="175"/>
        <v>2</v>
      </c>
      <c r="CR146" s="7">
        <f t="shared" si="175"/>
        <v>1</v>
      </c>
      <c r="CS146" s="7">
        <f t="shared" si="175"/>
        <v>1</v>
      </c>
      <c r="CT146" s="7">
        <f t="shared" si="175"/>
        <v>-4</v>
      </c>
      <c r="CU146" s="7">
        <f t="shared" si="175"/>
        <v>-1</v>
      </c>
      <c r="CV146" s="7">
        <f t="shared" si="175"/>
        <v>-1</v>
      </c>
      <c r="CW146" s="7">
        <f t="shared" si="175"/>
        <v>0</v>
      </c>
      <c r="CX146" s="7">
        <f t="shared" si="175"/>
        <v>0</v>
      </c>
      <c r="CY146" s="7">
        <f t="shared" si="175"/>
        <v>-2</v>
      </c>
      <c r="CZ146" s="7" t="e">
        <f t="shared" si="175"/>
        <v>#VALUE!</v>
      </c>
    </row>
    <row r="147" spans="1:104" x14ac:dyDescent="0.3">
      <c r="A147" s="10">
        <v>2022</v>
      </c>
      <c r="C147" s="7">
        <f t="shared" ref="C147:BN147" si="176">D73+C98</f>
        <v>981</v>
      </c>
      <c r="D147" s="7">
        <f t="shared" si="176"/>
        <v>1109</v>
      </c>
      <c r="E147" s="7">
        <f t="shared" si="176"/>
        <v>911</v>
      </c>
      <c r="F147" s="7">
        <f t="shared" si="176"/>
        <v>857</v>
      </c>
      <c r="G147" s="7">
        <f t="shared" si="176"/>
        <v>825</v>
      </c>
      <c r="H147" s="7">
        <f t="shared" si="176"/>
        <v>827</v>
      </c>
      <c r="I147" s="7">
        <f t="shared" si="176"/>
        <v>915</v>
      </c>
      <c r="J147" s="7">
        <f t="shared" si="176"/>
        <v>908</v>
      </c>
      <c r="K147" s="7">
        <f t="shared" si="176"/>
        <v>904</v>
      </c>
      <c r="L147" s="7">
        <f t="shared" si="176"/>
        <v>935</v>
      </c>
      <c r="M147" s="7">
        <f t="shared" si="176"/>
        <v>881</v>
      </c>
      <c r="N147" s="7">
        <f t="shared" si="176"/>
        <v>906</v>
      </c>
      <c r="O147" s="7">
        <f t="shared" si="176"/>
        <v>928</v>
      </c>
      <c r="P147" s="7">
        <f t="shared" si="176"/>
        <v>975</v>
      </c>
      <c r="Q147" s="7">
        <f t="shared" si="176"/>
        <v>968</v>
      </c>
      <c r="R147" s="7">
        <f t="shared" si="176"/>
        <v>916</v>
      </c>
      <c r="S147" s="7">
        <f t="shared" si="176"/>
        <v>929</v>
      </c>
      <c r="T147" s="7">
        <f t="shared" si="176"/>
        <v>1040</v>
      </c>
      <c r="U147" s="7">
        <f t="shared" si="176"/>
        <v>733</v>
      </c>
      <c r="V147" s="7">
        <f t="shared" si="176"/>
        <v>896</v>
      </c>
      <c r="W147" s="7">
        <f t="shared" si="176"/>
        <v>972</v>
      </c>
      <c r="X147" s="7">
        <f t="shared" si="176"/>
        <v>1120</v>
      </c>
      <c r="Y147" s="7">
        <f t="shared" si="176"/>
        <v>1346</v>
      </c>
      <c r="Z147" s="7">
        <f t="shared" si="176"/>
        <v>1590</v>
      </c>
      <c r="AA147" s="7">
        <f t="shared" si="176"/>
        <v>1618</v>
      </c>
      <c r="AB147" s="7">
        <f t="shared" si="176"/>
        <v>1616</v>
      </c>
      <c r="AC147" s="7">
        <f t="shared" si="176"/>
        <v>1662</v>
      </c>
      <c r="AD147" s="7">
        <f t="shared" si="176"/>
        <v>1716</v>
      </c>
      <c r="AE147" s="7">
        <f t="shared" si="176"/>
        <v>1637</v>
      </c>
      <c r="AF147" s="7">
        <f t="shared" si="176"/>
        <v>1642</v>
      </c>
      <c r="AG147" s="7">
        <f t="shared" si="176"/>
        <v>1489</v>
      </c>
      <c r="AH147" s="7">
        <f t="shared" si="176"/>
        <v>1381</v>
      </c>
      <c r="AI147" s="7">
        <f t="shared" si="176"/>
        <v>1291</v>
      </c>
      <c r="AJ147" s="7">
        <f t="shared" si="176"/>
        <v>1258</v>
      </c>
      <c r="AK147" s="7">
        <f t="shared" si="176"/>
        <v>1195</v>
      </c>
      <c r="AL147" s="7">
        <f t="shared" si="176"/>
        <v>1188</v>
      </c>
      <c r="AM147" s="7">
        <f t="shared" si="176"/>
        <v>1124</v>
      </c>
      <c r="AN147" s="7">
        <f t="shared" si="176"/>
        <v>1084</v>
      </c>
      <c r="AO147" s="7">
        <f t="shared" si="176"/>
        <v>1018</v>
      </c>
      <c r="AP147" s="7">
        <f t="shared" si="176"/>
        <v>1011</v>
      </c>
      <c r="AQ147" s="7">
        <f t="shared" si="176"/>
        <v>815</v>
      </c>
      <c r="AR147" s="7">
        <f t="shared" si="176"/>
        <v>840</v>
      </c>
      <c r="AS147" s="7">
        <f t="shared" si="176"/>
        <v>752</v>
      </c>
      <c r="AT147" s="7">
        <f t="shared" si="176"/>
        <v>680</v>
      </c>
      <c r="AU147" s="7">
        <f t="shared" si="176"/>
        <v>657</v>
      </c>
      <c r="AV147" s="7">
        <f t="shared" si="176"/>
        <v>615</v>
      </c>
      <c r="AW147" s="7">
        <f t="shared" si="176"/>
        <v>492</v>
      </c>
      <c r="AX147" s="7">
        <f t="shared" si="176"/>
        <v>508</v>
      </c>
      <c r="AY147" s="7">
        <f t="shared" si="176"/>
        <v>405</v>
      </c>
      <c r="AZ147" s="7">
        <f t="shared" si="176"/>
        <v>423</v>
      </c>
      <c r="BA147" s="7">
        <f t="shared" si="176"/>
        <v>341</v>
      </c>
      <c r="BB147" s="7">
        <f t="shared" si="176"/>
        <v>354</v>
      </c>
      <c r="BC147" s="7">
        <f t="shared" si="176"/>
        <v>331</v>
      </c>
      <c r="BD147" s="7">
        <f t="shared" si="176"/>
        <v>306</v>
      </c>
      <c r="BE147" s="7">
        <f t="shared" si="176"/>
        <v>277</v>
      </c>
      <c r="BF147" s="7">
        <f t="shared" si="176"/>
        <v>252</v>
      </c>
      <c r="BG147" s="7">
        <f t="shared" si="176"/>
        <v>114</v>
      </c>
      <c r="BH147" s="7">
        <f t="shared" si="176"/>
        <v>192</v>
      </c>
      <c r="BI147" s="7">
        <f t="shared" si="176"/>
        <v>217</v>
      </c>
      <c r="BJ147" s="7">
        <f t="shared" si="176"/>
        <v>260</v>
      </c>
      <c r="BK147" s="7">
        <f t="shared" si="176"/>
        <v>300</v>
      </c>
      <c r="BL147" s="7">
        <f t="shared" si="176"/>
        <v>281</v>
      </c>
      <c r="BM147" s="7">
        <f t="shared" si="176"/>
        <v>228</v>
      </c>
      <c r="BN147" s="7">
        <f t="shared" si="176"/>
        <v>222</v>
      </c>
      <c r="BO147" s="7">
        <f t="shared" ref="BO147:CZ147" si="177">BP73+BO98</f>
        <v>200</v>
      </c>
      <c r="BP147" s="7">
        <f t="shared" si="177"/>
        <v>194</v>
      </c>
      <c r="BQ147" s="7">
        <f t="shared" si="177"/>
        <v>153</v>
      </c>
      <c r="BR147" s="7">
        <f t="shared" si="177"/>
        <v>149</v>
      </c>
      <c r="BS147" s="7">
        <f t="shared" si="177"/>
        <v>135</v>
      </c>
      <c r="BT147" s="7">
        <f t="shared" si="177"/>
        <v>144</v>
      </c>
      <c r="BU147" s="7">
        <f t="shared" si="177"/>
        <v>135</v>
      </c>
      <c r="BV147" s="7">
        <f t="shared" si="177"/>
        <v>178</v>
      </c>
      <c r="BW147" s="7">
        <f t="shared" si="177"/>
        <v>151</v>
      </c>
      <c r="BX147" s="7">
        <f t="shared" si="177"/>
        <v>143</v>
      </c>
      <c r="BY147" s="7">
        <f t="shared" si="177"/>
        <v>104</v>
      </c>
      <c r="BZ147" s="7">
        <f t="shared" si="177"/>
        <v>102</v>
      </c>
      <c r="CA147" s="7">
        <f t="shared" si="177"/>
        <v>51</v>
      </c>
      <c r="CB147" s="7">
        <f t="shared" si="177"/>
        <v>61</v>
      </c>
      <c r="CC147" s="7">
        <f t="shared" si="177"/>
        <v>51</v>
      </c>
      <c r="CD147" s="7">
        <f t="shared" si="177"/>
        <v>55</v>
      </c>
      <c r="CE147" s="7">
        <f t="shared" si="177"/>
        <v>58</v>
      </c>
      <c r="CF147" s="7">
        <f t="shared" si="177"/>
        <v>35</v>
      </c>
      <c r="CG147" s="7">
        <f t="shared" si="177"/>
        <v>36</v>
      </c>
      <c r="CH147" s="7">
        <f t="shared" si="177"/>
        <v>22</v>
      </c>
      <c r="CI147" s="7">
        <f t="shared" si="177"/>
        <v>37</v>
      </c>
      <c r="CJ147" s="7">
        <f t="shared" si="177"/>
        <v>25</v>
      </c>
      <c r="CK147" s="7">
        <f t="shared" si="177"/>
        <v>14</v>
      </c>
      <c r="CL147" s="7">
        <f t="shared" si="177"/>
        <v>7</v>
      </c>
      <c r="CM147" s="7">
        <f t="shared" si="177"/>
        <v>2</v>
      </c>
      <c r="CN147" s="7">
        <f t="shared" si="177"/>
        <v>9</v>
      </c>
      <c r="CO147" s="7">
        <f t="shared" si="177"/>
        <v>0</v>
      </c>
      <c r="CP147" s="7">
        <f t="shared" si="177"/>
        <v>1</v>
      </c>
      <c r="CQ147" s="7">
        <f t="shared" si="177"/>
        <v>-2</v>
      </c>
      <c r="CR147" s="7">
        <f t="shared" si="177"/>
        <v>-1</v>
      </c>
      <c r="CS147" s="7">
        <f t="shared" si="177"/>
        <v>-1</v>
      </c>
      <c r="CT147" s="7">
        <f t="shared" si="177"/>
        <v>6</v>
      </c>
      <c r="CU147" s="7">
        <f t="shared" si="177"/>
        <v>-5</v>
      </c>
      <c r="CV147" s="7">
        <f t="shared" si="177"/>
        <v>2</v>
      </c>
      <c r="CW147" s="7">
        <f t="shared" si="177"/>
        <v>-1</v>
      </c>
      <c r="CX147" s="7">
        <f t="shared" si="177"/>
        <v>0</v>
      </c>
      <c r="CY147" s="7">
        <f t="shared" si="177"/>
        <v>0</v>
      </c>
      <c r="CZ147" s="7">
        <f t="shared" si="177"/>
        <v>0</v>
      </c>
    </row>
    <row r="148" spans="1:104" x14ac:dyDescent="0.3">
      <c r="B148" t="s">
        <v>22</v>
      </c>
      <c r="C148" s="8">
        <f t="shared" ref="C148" si="178">AVERAGE(C128:C147)</f>
        <v>772.9</v>
      </c>
      <c r="D148" s="8">
        <f t="shared" ref="D148:BO148" si="179">AVERAGE(D128:D147)</f>
        <v>557.54999999999995</v>
      </c>
      <c r="E148" s="8">
        <f t="shared" si="179"/>
        <v>389.35</v>
      </c>
      <c r="F148" s="8">
        <f t="shared" si="179"/>
        <v>338.45</v>
      </c>
      <c r="G148" s="8">
        <f t="shared" si="179"/>
        <v>325.39999999999998</v>
      </c>
      <c r="H148" s="8">
        <f t="shared" si="179"/>
        <v>290.05</v>
      </c>
      <c r="I148" s="8">
        <f t="shared" si="179"/>
        <v>325.75</v>
      </c>
      <c r="J148" s="8">
        <f t="shared" si="179"/>
        <v>328.05</v>
      </c>
      <c r="K148" s="8">
        <f t="shared" si="179"/>
        <v>335.3</v>
      </c>
      <c r="L148" s="8">
        <f t="shared" si="179"/>
        <v>347.35</v>
      </c>
      <c r="M148" s="8">
        <f t="shared" si="179"/>
        <v>353.25</v>
      </c>
      <c r="N148" s="8">
        <f t="shared" si="179"/>
        <v>344.85</v>
      </c>
      <c r="O148" s="8">
        <f t="shared" si="179"/>
        <v>361.2</v>
      </c>
      <c r="P148" s="8">
        <f t="shared" si="179"/>
        <v>362.25</v>
      </c>
      <c r="Q148" s="8">
        <f t="shared" si="179"/>
        <v>380.1</v>
      </c>
      <c r="R148" s="8">
        <f t="shared" si="179"/>
        <v>480.35</v>
      </c>
      <c r="S148" s="8">
        <f t="shared" si="179"/>
        <v>524.70000000000005</v>
      </c>
      <c r="T148" s="8">
        <f t="shared" si="179"/>
        <v>499.3</v>
      </c>
      <c r="U148" s="8">
        <f t="shared" si="179"/>
        <v>496.1</v>
      </c>
      <c r="V148" s="8">
        <f t="shared" si="179"/>
        <v>558.45000000000005</v>
      </c>
      <c r="W148" s="8">
        <f t="shared" si="179"/>
        <v>693</v>
      </c>
      <c r="X148" s="8">
        <f t="shared" si="179"/>
        <v>848.85</v>
      </c>
      <c r="Y148" s="8">
        <f t="shared" si="179"/>
        <v>1083.7</v>
      </c>
      <c r="Z148" s="8">
        <f t="shared" si="179"/>
        <v>1262.8499999999999</v>
      </c>
      <c r="AA148" s="8">
        <f t="shared" si="179"/>
        <v>1457.15</v>
      </c>
      <c r="AB148" s="8">
        <f t="shared" si="179"/>
        <v>1516.25</v>
      </c>
      <c r="AC148" s="8">
        <f t="shared" si="179"/>
        <v>1438.15</v>
      </c>
      <c r="AD148" s="8">
        <f t="shared" si="179"/>
        <v>1353.8</v>
      </c>
      <c r="AE148" s="8">
        <f t="shared" si="179"/>
        <v>1232.3</v>
      </c>
      <c r="AF148" s="8">
        <f t="shared" si="179"/>
        <v>1097.8499999999999</v>
      </c>
      <c r="AG148" s="8">
        <f t="shared" si="179"/>
        <v>928.65</v>
      </c>
      <c r="AH148" s="8">
        <f t="shared" si="179"/>
        <v>842.35</v>
      </c>
      <c r="AI148" s="8">
        <f t="shared" si="179"/>
        <v>780.2</v>
      </c>
      <c r="AJ148" s="8">
        <f t="shared" si="179"/>
        <v>718.95</v>
      </c>
      <c r="AK148" s="8">
        <f t="shared" si="179"/>
        <v>659</v>
      </c>
      <c r="AL148" s="8">
        <f t="shared" si="179"/>
        <v>609.29999999999995</v>
      </c>
      <c r="AM148" s="8">
        <f t="shared" si="179"/>
        <v>547.04999999999995</v>
      </c>
      <c r="AN148" s="8">
        <f t="shared" si="179"/>
        <v>503.3</v>
      </c>
      <c r="AO148" s="8">
        <f t="shared" si="179"/>
        <v>476</v>
      </c>
      <c r="AP148" s="8">
        <f t="shared" si="179"/>
        <v>423.05</v>
      </c>
      <c r="AQ148" s="8">
        <f t="shared" si="179"/>
        <v>386.05</v>
      </c>
      <c r="AR148" s="8">
        <f t="shared" si="179"/>
        <v>365.65</v>
      </c>
      <c r="AS148" s="8">
        <f t="shared" si="179"/>
        <v>332.65</v>
      </c>
      <c r="AT148" s="8">
        <f t="shared" si="179"/>
        <v>300.89999999999998</v>
      </c>
      <c r="AU148" s="8">
        <f t="shared" si="179"/>
        <v>270.95</v>
      </c>
      <c r="AV148" s="8">
        <f t="shared" si="179"/>
        <v>259.14999999999998</v>
      </c>
      <c r="AW148" s="8">
        <f t="shared" si="179"/>
        <v>228.9</v>
      </c>
      <c r="AX148" s="8">
        <f t="shared" si="179"/>
        <v>202.65</v>
      </c>
      <c r="AY148" s="8">
        <f>AVERAGE(AY128:AY147)</f>
        <v>168.05</v>
      </c>
      <c r="AZ148" s="8">
        <f t="shared" si="179"/>
        <v>168.25</v>
      </c>
      <c r="BA148" s="8">
        <f t="shared" si="179"/>
        <v>128.9</v>
      </c>
      <c r="BB148" s="8">
        <f t="shared" si="179"/>
        <v>113</v>
      </c>
      <c r="BC148" s="8">
        <f t="shared" si="179"/>
        <v>102.65</v>
      </c>
      <c r="BD148" s="8">
        <f t="shared" si="179"/>
        <v>80.599999999999994</v>
      </c>
      <c r="BE148" s="8">
        <f t="shared" si="179"/>
        <v>67.349999999999994</v>
      </c>
      <c r="BF148" s="8">
        <f t="shared" si="179"/>
        <v>50.05</v>
      </c>
      <c r="BG148" s="8">
        <f t="shared" si="179"/>
        <v>24.15</v>
      </c>
      <c r="BH148" s="8">
        <f t="shared" si="179"/>
        <v>13.75</v>
      </c>
      <c r="BI148" s="8">
        <f t="shared" si="179"/>
        <v>18.399999999999999</v>
      </c>
      <c r="BJ148" s="8">
        <f t="shared" si="179"/>
        <v>19.75</v>
      </c>
      <c r="BK148" s="8">
        <f t="shared" si="179"/>
        <v>9.3000000000000007</v>
      </c>
      <c r="BL148" s="8">
        <f t="shared" si="179"/>
        <v>-10.7</v>
      </c>
      <c r="BM148" s="8">
        <f t="shared" si="179"/>
        <v>-20.3</v>
      </c>
      <c r="BN148" s="8">
        <f t="shared" si="179"/>
        <v>-6.7</v>
      </c>
      <c r="BO148" s="8">
        <f t="shared" si="179"/>
        <v>-12.75</v>
      </c>
      <c r="BP148" s="8">
        <f t="shared" ref="BP148:CY148" si="180">AVERAGE(BP128:BP147)</f>
        <v>-5.25</v>
      </c>
      <c r="BQ148" s="8">
        <f t="shared" si="180"/>
        <v>-24.4</v>
      </c>
      <c r="BR148" s="8">
        <f t="shared" si="180"/>
        <v>-13.1</v>
      </c>
      <c r="BS148" s="8">
        <f t="shared" si="180"/>
        <v>-0.2</v>
      </c>
      <c r="BT148" s="8">
        <f t="shared" si="180"/>
        <v>7.35</v>
      </c>
      <c r="BU148" s="8">
        <f t="shared" si="180"/>
        <v>7.95</v>
      </c>
      <c r="BV148" s="8">
        <f t="shared" si="180"/>
        <v>16.8</v>
      </c>
      <c r="BW148" s="8">
        <f t="shared" si="180"/>
        <v>13.85</v>
      </c>
      <c r="BX148" s="8">
        <f t="shared" si="180"/>
        <v>13.9</v>
      </c>
      <c r="BY148" s="8">
        <f t="shared" si="180"/>
        <v>12.25</v>
      </c>
      <c r="BZ148" s="8">
        <f t="shared" si="180"/>
        <v>16.399999999999999</v>
      </c>
      <c r="CA148" s="8">
        <f t="shared" si="180"/>
        <v>11</v>
      </c>
      <c r="CB148" s="8">
        <f t="shared" si="180"/>
        <v>12.05</v>
      </c>
      <c r="CC148" s="8">
        <f t="shared" si="180"/>
        <v>9.3000000000000007</v>
      </c>
      <c r="CD148" s="8">
        <f t="shared" si="180"/>
        <v>9.1999999999999993</v>
      </c>
      <c r="CE148" s="8">
        <f t="shared" si="180"/>
        <v>9.8000000000000007</v>
      </c>
      <c r="CF148" s="8">
        <f t="shared" si="180"/>
        <v>6.2</v>
      </c>
      <c r="CG148" s="8">
        <f t="shared" si="180"/>
        <v>6.5</v>
      </c>
      <c r="CH148" s="8">
        <f t="shared" si="180"/>
        <v>3.9</v>
      </c>
      <c r="CI148" s="8">
        <f t="shared" si="180"/>
        <v>4.0999999999999996</v>
      </c>
      <c r="CJ148" s="8">
        <f t="shared" si="180"/>
        <v>5</v>
      </c>
      <c r="CK148" s="8">
        <f t="shared" si="180"/>
        <v>1.5</v>
      </c>
      <c r="CL148" s="8">
        <f t="shared" si="180"/>
        <v>0.95</v>
      </c>
      <c r="CM148" s="8">
        <f t="shared" si="180"/>
        <v>2.95</v>
      </c>
      <c r="CN148" s="8">
        <f t="shared" si="180"/>
        <v>-0.2</v>
      </c>
      <c r="CO148" s="8">
        <f t="shared" si="180"/>
        <v>-0.2</v>
      </c>
      <c r="CP148" s="8">
        <f t="shared" si="180"/>
        <v>0.85</v>
      </c>
      <c r="CQ148" s="8">
        <f t="shared" si="180"/>
        <v>-0.8</v>
      </c>
      <c r="CR148" s="8">
        <f t="shared" si="180"/>
        <v>-0.35</v>
      </c>
      <c r="CS148" s="8">
        <f t="shared" si="180"/>
        <v>-0.75</v>
      </c>
      <c r="CT148" s="8">
        <f t="shared" si="180"/>
        <v>-0.35</v>
      </c>
      <c r="CU148" s="8">
        <f t="shared" si="180"/>
        <v>-0.4</v>
      </c>
      <c r="CV148" s="8">
        <f t="shared" si="180"/>
        <v>-0.55000000000000004</v>
      </c>
      <c r="CW148" s="8">
        <f t="shared" si="180"/>
        <v>-0.05</v>
      </c>
      <c r="CX148" s="8">
        <f t="shared" si="180"/>
        <v>0.1</v>
      </c>
      <c r="CY148" s="8">
        <f t="shared" si="180"/>
        <v>-0.55000000000000004</v>
      </c>
    </row>
    <row r="149" spans="1:104" x14ac:dyDescent="0.3">
      <c r="B149" s="8" t="s">
        <v>23</v>
      </c>
      <c r="C149" s="15">
        <f t="shared" ref="C149" si="181">MEDIAN(C128:C147)</f>
        <v>766</v>
      </c>
      <c r="D149" s="15">
        <f t="shared" ref="D149:BO149" si="182">MEDIAN(D128:D147)</f>
        <v>494.5</v>
      </c>
      <c r="E149" s="15">
        <f t="shared" si="182"/>
        <v>372</v>
      </c>
      <c r="F149" s="15">
        <f t="shared" si="182"/>
        <v>335.5</v>
      </c>
      <c r="G149" s="15">
        <f t="shared" si="182"/>
        <v>332.5</v>
      </c>
      <c r="H149" s="15">
        <f t="shared" si="182"/>
        <v>321</v>
      </c>
      <c r="I149" s="15">
        <f t="shared" si="182"/>
        <v>349</v>
      </c>
      <c r="J149" s="15">
        <f t="shared" si="182"/>
        <v>326</v>
      </c>
      <c r="K149" s="15">
        <f t="shared" si="182"/>
        <v>351.5</v>
      </c>
      <c r="L149" s="15">
        <f t="shared" si="182"/>
        <v>346</v>
      </c>
      <c r="M149" s="15">
        <f t="shared" si="182"/>
        <v>358</v>
      </c>
      <c r="N149" s="15">
        <f t="shared" si="182"/>
        <v>355.5</v>
      </c>
      <c r="O149" s="15">
        <f t="shared" si="182"/>
        <v>353.5</v>
      </c>
      <c r="P149" s="15">
        <f t="shared" si="182"/>
        <v>345</v>
      </c>
      <c r="Q149" s="15">
        <f t="shared" si="182"/>
        <v>365.5</v>
      </c>
      <c r="R149" s="15">
        <f t="shared" si="182"/>
        <v>444</v>
      </c>
      <c r="S149" s="15">
        <f t="shared" si="182"/>
        <v>465.5</v>
      </c>
      <c r="T149" s="15">
        <f t="shared" si="182"/>
        <v>482</v>
      </c>
      <c r="U149" s="15">
        <f t="shared" si="182"/>
        <v>508</v>
      </c>
      <c r="V149" s="15">
        <f t="shared" si="182"/>
        <v>581.5</v>
      </c>
      <c r="W149" s="15">
        <f t="shared" si="182"/>
        <v>776</v>
      </c>
      <c r="X149" s="15">
        <f t="shared" si="182"/>
        <v>854.5</v>
      </c>
      <c r="Y149" s="15">
        <f t="shared" si="182"/>
        <v>1036</v>
      </c>
      <c r="Z149" s="15">
        <f t="shared" si="182"/>
        <v>1168.5</v>
      </c>
      <c r="AA149" s="15">
        <f t="shared" si="182"/>
        <v>1424.5</v>
      </c>
      <c r="AB149" s="15">
        <f t="shared" si="182"/>
        <v>1504</v>
      </c>
      <c r="AC149" s="15">
        <f t="shared" si="182"/>
        <v>1443</v>
      </c>
      <c r="AD149" s="15">
        <f t="shared" si="182"/>
        <v>1245.5</v>
      </c>
      <c r="AE149" s="15">
        <f t="shared" si="182"/>
        <v>1221.5</v>
      </c>
      <c r="AF149" s="15">
        <f t="shared" si="182"/>
        <v>1049.5</v>
      </c>
      <c r="AG149" s="15">
        <f t="shared" si="182"/>
        <v>941.5</v>
      </c>
      <c r="AH149" s="15">
        <f t="shared" si="182"/>
        <v>789</v>
      </c>
      <c r="AI149" s="15">
        <f t="shared" si="182"/>
        <v>778</v>
      </c>
      <c r="AJ149" s="15">
        <f t="shared" si="182"/>
        <v>675.5</v>
      </c>
      <c r="AK149" s="15">
        <f t="shared" si="182"/>
        <v>650</v>
      </c>
      <c r="AL149" s="15">
        <f t="shared" si="182"/>
        <v>592.5</v>
      </c>
      <c r="AM149" s="15">
        <f t="shared" si="182"/>
        <v>525.5</v>
      </c>
      <c r="AN149" s="15">
        <f t="shared" si="182"/>
        <v>463</v>
      </c>
      <c r="AO149" s="15">
        <f t="shared" si="182"/>
        <v>414.5</v>
      </c>
      <c r="AP149" s="15">
        <f t="shared" si="182"/>
        <v>389.5</v>
      </c>
      <c r="AQ149" s="15">
        <f t="shared" si="182"/>
        <v>382.5</v>
      </c>
      <c r="AR149" s="15">
        <f t="shared" si="182"/>
        <v>339.5</v>
      </c>
      <c r="AS149" s="15">
        <f t="shared" si="182"/>
        <v>310</v>
      </c>
      <c r="AT149" s="15">
        <f t="shared" si="182"/>
        <v>261.5</v>
      </c>
      <c r="AU149" s="15">
        <f t="shared" si="182"/>
        <v>264</v>
      </c>
      <c r="AV149" s="15">
        <f t="shared" si="182"/>
        <v>242</v>
      </c>
      <c r="AW149" s="15">
        <f t="shared" si="182"/>
        <v>215.5</v>
      </c>
      <c r="AX149" s="15">
        <f t="shared" si="182"/>
        <v>224.5</v>
      </c>
      <c r="AY149" s="15">
        <f t="shared" si="182"/>
        <v>163.5</v>
      </c>
      <c r="AZ149" s="15">
        <f t="shared" si="182"/>
        <v>165.5</v>
      </c>
      <c r="BA149" s="15">
        <f t="shared" si="182"/>
        <v>119</v>
      </c>
      <c r="BB149" s="15">
        <f t="shared" si="182"/>
        <v>97.5</v>
      </c>
      <c r="BC149" s="15">
        <f t="shared" si="182"/>
        <v>102.5</v>
      </c>
      <c r="BD149" s="15">
        <f t="shared" si="182"/>
        <v>79</v>
      </c>
      <c r="BE149" s="15">
        <f t="shared" si="182"/>
        <v>63</v>
      </c>
      <c r="BF149" s="15">
        <f t="shared" si="182"/>
        <v>35.5</v>
      </c>
      <c r="BG149" s="15">
        <f t="shared" si="182"/>
        <v>13</v>
      </c>
      <c r="BH149" s="15">
        <f t="shared" si="182"/>
        <v>1.5</v>
      </c>
      <c r="BI149" s="15">
        <f t="shared" si="182"/>
        <v>22</v>
      </c>
      <c r="BJ149" s="15">
        <f t="shared" si="182"/>
        <v>3</v>
      </c>
      <c r="BK149" s="15">
        <f t="shared" si="182"/>
        <v>-11</v>
      </c>
      <c r="BL149" s="15">
        <f t="shared" si="182"/>
        <v>-27.5</v>
      </c>
      <c r="BM149" s="15">
        <f t="shared" si="182"/>
        <v>-33.5</v>
      </c>
      <c r="BN149" s="15">
        <f t="shared" si="182"/>
        <v>-23</v>
      </c>
      <c r="BO149" s="15">
        <f t="shared" si="182"/>
        <v>-20.5</v>
      </c>
      <c r="BP149" s="15">
        <f t="shared" ref="BP149:CY149" si="183">MEDIAN(BP128:BP147)</f>
        <v>-8.5</v>
      </c>
      <c r="BQ149" s="15">
        <f t="shared" si="183"/>
        <v>-26.5</v>
      </c>
      <c r="BR149" s="15">
        <f t="shared" si="183"/>
        <v>-23</v>
      </c>
      <c r="BS149" s="15">
        <f t="shared" si="183"/>
        <v>-4.5</v>
      </c>
      <c r="BT149" s="15">
        <f t="shared" si="183"/>
        <v>1</v>
      </c>
      <c r="BU149" s="15">
        <f t="shared" si="183"/>
        <v>0</v>
      </c>
      <c r="BV149" s="15">
        <f t="shared" si="183"/>
        <v>12</v>
      </c>
      <c r="BW149" s="15">
        <f t="shared" si="183"/>
        <v>7</v>
      </c>
      <c r="BX149" s="15">
        <f t="shared" si="183"/>
        <v>8</v>
      </c>
      <c r="BY149" s="15">
        <f t="shared" si="183"/>
        <v>7</v>
      </c>
      <c r="BZ149" s="15">
        <f t="shared" si="183"/>
        <v>13.5</v>
      </c>
      <c r="CA149" s="15">
        <f t="shared" si="183"/>
        <v>10.5</v>
      </c>
      <c r="CB149" s="15">
        <f t="shared" si="183"/>
        <v>9</v>
      </c>
      <c r="CC149" s="15">
        <f t="shared" si="183"/>
        <v>9.5</v>
      </c>
      <c r="CD149" s="15">
        <f t="shared" si="183"/>
        <v>6</v>
      </c>
      <c r="CE149" s="15">
        <f t="shared" si="183"/>
        <v>7.5</v>
      </c>
      <c r="CF149" s="15">
        <f t="shared" si="183"/>
        <v>6</v>
      </c>
      <c r="CG149" s="15">
        <f t="shared" si="183"/>
        <v>5.5</v>
      </c>
      <c r="CH149" s="15">
        <f t="shared" si="183"/>
        <v>3</v>
      </c>
      <c r="CI149" s="15">
        <f t="shared" si="183"/>
        <v>2.5</v>
      </c>
      <c r="CJ149" s="15">
        <f t="shared" si="183"/>
        <v>3</v>
      </c>
      <c r="CK149" s="15">
        <f t="shared" si="183"/>
        <v>3</v>
      </c>
      <c r="CL149" s="15">
        <f t="shared" si="183"/>
        <v>1.5</v>
      </c>
      <c r="CM149" s="15">
        <f t="shared" si="183"/>
        <v>2.5</v>
      </c>
      <c r="CN149" s="15">
        <f t="shared" si="183"/>
        <v>-0.5</v>
      </c>
      <c r="CO149" s="15">
        <f t="shared" si="183"/>
        <v>-0.5</v>
      </c>
      <c r="CP149" s="15">
        <f t="shared" si="183"/>
        <v>1</v>
      </c>
      <c r="CQ149" s="15">
        <f t="shared" si="183"/>
        <v>-1</v>
      </c>
      <c r="CR149" s="15">
        <f t="shared" si="183"/>
        <v>0</v>
      </c>
      <c r="CS149" s="15">
        <f t="shared" si="183"/>
        <v>-1</v>
      </c>
      <c r="CT149" s="15">
        <f t="shared" si="183"/>
        <v>0</v>
      </c>
      <c r="CU149" s="15">
        <f t="shared" si="183"/>
        <v>0</v>
      </c>
      <c r="CV149" s="15">
        <f t="shared" si="183"/>
        <v>-1</v>
      </c>
      <c r="CW149" s="15">
        <f t="shared" si="183"/>
        <v>0</v>
      </c>
      <c r="CX149" s="15">
        <f t="shared" si="183"/>
        <v>0</v>
      </c>
      <c r="CY149" s="15">
        <f t="shared" si="183"/>
        <v>0</v>
      </c>
    </row>
    <row r="151" spans="1:104" x14ac:dyDescent="0.3">
      <c r="A151" t="s">
        <v>27</v>
      </c>
      <c r="B151" s="8"/>
    </row>
    <row r="152" spans="1:104" x14ac:dyDescent="0.3">
      <c r="A152" s="10">
        <v>2003</v>
      </c>
      <c r="B152" s="8"/>
      <c r="C152" s="7">
        <f>D29-C79</f>
        <v>-19</v>
      </c>
      <c r="D152" s="7">
        <f>E29-D79</f>
        <v>18</v>
      </c>
      <c r="E152" s="7">
        <f>F29-E79</f>
        <v>7</v>
      </c>
      <c r="F152" s="7">
        <f t="shared" ref="F152:BQ152" si="184">G29-F79</f>
        <v>21</v>
      </c>
      <c r="G152" s="7">
        <f t="shared" si="184"/>
        <v>13</v>
      </c>
      <c r="H152" s="7">
        <f t="shared" si="184"/>
        <v>23</v>
      </c>
      <c r="I152" s="7">
        <f t="shared" si="184"/>
        <v>5</v>
      </c>
      <c r="J152" s="7">
        <f t="shared" si="184"/>
        <v>16</v>
      </c>
      <c r="K152" s="7">
        <f t="shared" si="184"/>
        <v>13</v>
      </c>
      <c r="L152" s="7">
        <f t="shared" si="184"/>
        <v>0</v>
      </c>
      <c r="M152" s="7">
        <f t="shared" si="184"/>
        <v>14</v>
      </c>
      <c r="N152" s="7">
        <f t="shared" si="184"/>
        <v>8</v>
      </c>
      <c r="O152" s="7">
        <f t="shared" si="184"/>
        <v>29</v>
      </c>
      <c r="P152" s="7">
        <f t="shared" si="184"/>
        <v>4</v>
      </c>
      <c r="Q152" s="7">
        <f t="shared" si="184"/>
        <v>30</v>
      </c>
      <c r="R152" s="7">
        <f t="shared" si="184"/>
        <v>18</v>
      </c>
      <c r="S152" s="7">
        <f t="shared" si="184"/>
        <v>11</v>
      </c>
      <c r="T152" s="7">
        <f t="shared" si="184"/>
        <v>7</v>
      </c>
      <c r="U152" s="7">
        <f t="shared" si="184"/>
        <v>14</v>
      </c>
      <c r="V152" s="7">
        <f t="shared" si="184"/>
        <v>10</v>
      </c>
      <c r="W152" s="7">
        <f t="shared" si="184"/>
        <v>0</v>
      </c>
      <c r="X152" s="7">
        <f t="shared" si="184"/>
        <v>-13</v>
      </c>
      <c r="Y152" s="7">
        <f t="shared" si="184"/>
        <v>5</v>
      </c>
      <c r="Z152" s="7">
        <f t="shared" si="184"/>
        <v>-5</v>
      </c>
      <c r="AA152" s="7">
        <f t="shared" si="184"/>
        <v>43</v>
      </c>
      <c r="AB152" s="7">
        <f t="shared" si="184"/>
        <v>59</v>
      </c>
      <c r="AC152" s="7">
        <f t="shared" si="184"/>
        <v>50</v>
      </c>
      <c r="AD152" s="7">
        <f t="shared" si="184"/>
        <v>59</v>
      </c>
      <c r="AE152" s="7">
        <f t="shared" si="184"/>
        <v>34</v>
      </c>
      <c r="AF152" s="7">
        <f t="shared" si="184"/>
        <v>37</v>
      </c>
      <c r="AG152" s="7">
        <f t="shared" si="184"/>
        <v>58</v>
      </c>
      <c r="AH152" s="7">
        <f t="shared" si="184"/>
        <v>72</v>
      </c>
      <c r="AI152" s="7">
        <f t="shared" si="184"/>
        <v>71</v>
      </c>
      <c r="AJ152" s="7">
        <f t="shared" si="184"/>
        <v>93</v>
      </c>
      <c r="AK152" s="7">
        <f t="shared" si="184"/>
        <v>76</v>
      </c>
      <c r="AL152" s="7">
        <f t="shared" si="184"/>
        <v>72</v>
      </c>
      <c r="AM152" s="7">
        <f t="shared" si="184"/>
        <v>79</v>
      </c>
      <c r="AN152" s="7">
        <f t="shared" si="184"/>
        <v>65</v>
      </c>
      <c r="AO152" s="7">
        <f t="shared" si="184"/>
        <v>63</v>
      </c>
      <c r="AP152" s="7">
        <f t="shared" si="184"/>
        <v>98</v>
      </c>
      <c r="AQ152" s="7">
        <f t="shared" si="184"/>
        <v>95</v>
      </c>
      <c r="AR152" s="7">
        <f t="shared" si="184"/>
        <v>88</v>
      </c>
      <c r="AS152" s="7">
        <f t="shared" si="184"/>
        <v>100</v>
      </c>
      <c r="AT152" s="7">
        <f t="shared" si="184"/>
        <v>109</v>
      </c>
      <c r="AU152" s="7">
        <f t="shared" si="184"/>
        <v>109</v>
      </c>
      <c r="AV152" s="7">
        <f t="shared" si="184"/>
        <v>124</v>
      </c>
      <c r="AW152" s="7">
        <f t="shared" si="184"/>
        <v>138</v>
      </c>
      <c r="AX152" s="7">
        <f t="shared" si="184"/>
        <v>137</v>
      </c>
      <c r="AY152" s="7">
        <f t="shared" si="184"/>
        <v>163</v>
      </c>
      <c r="AZ152" s="7">
        <f t="shared" si="184"/>
        <v>162</v>
      </c>
      <c r="BA152" s="7">
        <f t="shared" si="184"/>
        <v>172</v>
      </c>
      <c r="BB152" s="7">
        <f t="shared" si="184"/>
        <v>176</v>
      </c>
      <c r="BC152" s="7">
        <f t="shared" si="184"/>
        <v>217</v>
      </c>
      <c r="BD152" s="7">
        <f t="shared" si="184"/>
        <v>220</v>
      </c>
      <c r="BE152" s="7">
        <f t="shared" si="184"/>
        <v>267</v>
      </c>
      <c r="BF152" s="7">
        <f t="shared" si="184"/>
        <v>311</v>
      </c>
      <c r="BG152" s="7">
        <f t="shared" si="184"/>
        <v>355</v>
      </c>
      <c r="BH152" s="7">
        <f t="shared" si="184"/>
        <v>314</v>
      </c>
      <c r="BI152" s="7">
        <f t="shared" si="184"/>
        <v>335</v>
      </c>
      <c r="BJ152" s="7">
        <f t="shared" si="184"/>
        <v>346</v>
      </c>
      <c r="BK152" s="7">
        <f t="shared" si="184"/>
        <v>303</v>
      </c>
      <c r="BL152" s="7">
        <f t="shared" si="184"/>
        <v>330</v>
      </c>
      <c r="BM152" s="7">
        <f t="shared" si="184"/>
        <v>356</v>
      </c>
      <c r="BN152" s="7">
        <f t="shared" si="184"/>
        <v>406</v>
      </c>
      <c r="BO152" s="7">
        <f t="shared" si="184"/>
        <v>382</v>
      </c>
      <c r="BP152" s="7">
        <f t="shared" si="184"/>
        <v>425</v>
      </c>
      <c r="BQ152" s="7">
        <f t="shared" si="184"/>
        <v>485</v>
      </c>
      <c r="BR152" s="7">
        <f t="shared" ref="BR152:CY152" si="185">BS29-BR79</f>
        <v>459</v>
      </c>
      <c r="BS152" s="7">
        <f t="shared" si="185"/>
        <v>539</v>
      </c>
      <c r="BT152" s="7">
        <f t="shared" si="185"/>
        <v>553</v>
      </c>
      <c r="BU152" s="7">
        <f t="shared" si="185"/>
        <v>646</v>
      </c>
      <c r="BV152" s="7">
        <f t="shared" si="185"/>
        <v>700</v>
      </c>
      <c r="BW152" s="7">
        <f t="shared" si="185"/>
        <v>817</v>
      </c>
      <c r="BX152" s="7">
        <f t="shared" si="185"/>
        <v>879</v>
      </c>
      <c r="BY152" s="7">
        <f t="shared" si="185"/>
        <v>886</v>
      </c>
      <c r="BZ152" s="7">
        <f t="shared" si="185"/>
        <v>1037</v>
      </c>
      <c r="CA152" s="7">
        <f t="shared" si="185"/>
        <v>1137</v>
      </c>
      <c r="CB152" s="7">
        <f t="shared" si="185"/>
        <v>1239</v>
      </c>
      <c r="CC152" s="7">
        <f t="shared" si="185"/>
        <v>1346</v>
      </c>
      <c r="CD152" s="7">
        <f t="shared" si="185"/>
        <v>1467</v>
      </c>
      <c r="CE152" s="7">
        <f t="shared" si="185"/>
        <v>1589</v>
      </c>
      <c r="CF152" s="7">
        <f t="shared" si="185"/>
        <v>1693</v>
      </c>
      <c r="CG152" s="7">
        <f t="shared" si="185"/>
        <v>1921</v>
      </c>
      <c r="CH152" s="7">
        <f t="shared" si="185"/>
        <v>1613</v>
      </c>
      <c r="CI152" s="7">
        <f t="shared" si="185"/>
        <v>1675</v>
      </c>
      <c r="CJ152" s="7">
        <f t="shared" si="185"/>
        <v>1779</v>
      </c>
      <c r="CK152" s="7">
        <f t="shared" si="185"/>
        <v>1695</v>
      </c>
      <c r="CL152" s="7">
        <f t="shared" si="185"/>
        <v>1634</v>
      </c>
      <c r="CM152" s="7">
        <f t="shared" si="185"/>
        <v>1490</v>
      </c>
      <c r="CN152" s="7">
        <f t="shared" si="185"/>
        <v>1462</v>
      </c>
      <c r="CO152" s="7">
        <f t="shared" si="185"/>
        <v>1267</v>
      </c>
      <c r="CP152" s="7">
        <f t="shared" si="185"/>
        <v>1142</v>
      </c>
      <c r="CQ152" s="7">
        <f t="shared" si="185"/>
        <v>908</v>
      </c>
      <c r="CR152" s="7">
        <f t="shared" si="185"/>
        <v>797</v>
      </c>
      <c r="CS152" s="7">
        <f t="shared" si="185"/>
        <v>604</v>
      </c>
      <c r="CT152" s="7">
        <f t="shared" si="185"/>
        <v>456</v>
      </c>
      <c r="CU152" s="7">
        <f t="shared" si="185"/>
        <v>339</v>
      </c>
      <c r="CV152" s="7">
        <f t="shared" si="185"/>
        <v>258</v>
      </c>
      <c r="CW152" s="7">
        <f t="shared" si="185"/>
        <v>177</v>
      </c>
      <c r="CX152" s="7">
        <f t="shared" si="185"/>
        <v>110</v>
      </c>
      <c r="CY152" s="7">
        <f t="shared" si="185"/>
        <v>88</v>
      </c>
      <c r="CZ152" s="8"/>
    </row>
    <row r="153" spans="1:104" x14ac:dyDescent="0.3">
      <c r="A153" s="10">
        <v>2004</v>
      </c>
      <c r="B153" s="8"/>
      <c r="C153" s="7">
        <f t="shared" ref="C153:D171" si="186">D30-C80</f>
        <v>-19</v>
      </c>
      <c r="D153" s="7">
        <f t="shared" si="186"/>
        <v>12</v>
      </c>
      <c r="E153" s="7">
        <f t="shared" ref="E153:BP153" si="187">F30-E80</f>
        <v>7</v>
      </c>
      <c r="F153" s="7">
        <f t="shared" si="187"/>
        <v>4</v>
      </c>
      <c r="G153" s="7">
        <f t="shared" si="187"/>
        <v>16</v>
      </c>
      <c r="H153" s="7">
        <f t="shared" si="187"/>
        <v>12</v>
      </c>
      <c r="I153" s="7">
        <f t="shared" si="187"/>
        <v>-3</v>
      </c>
      <c r="J153" s="7">
        <f t="shared" si="187"/>
        <v>11</v>
      </c>
      <c r="K153" s="7">
        <f t="shared" si="187"/>
        <v>16</v>
      </c>
      <c r="L153" s="7">
        <f t="shared" si="187"/>
        <v>2</v>
      </c>
      <c r="M153" s="7">
        <f t="shared" si="187"/>
        <v>5</v>
      </c>
      <c r="N153" s="7">
        <f t="shared" si="187"/>
        <v>21</v>
      </c>
      <c r="O153" s="7">
        <f t="shared" si="187"/>
        <v>-1</v>
      </c>
      <c r="P153" s="7">
        <f t="shared" si="187"/>
        <v>12</v>
      </c>
      <c r="Q153" s="7">
        <f t="shared" si="187"/>
        <v>18</v>
      </c>
      <c r="R153" s="7">
        <f t="shared" si="187"/>
        <v>14</v>
      </c>
      <c r="S153" s="7">
        <f t="shared" si="187"/>
        <v>-5</v>
      </c>
      <c r="T153" s="7">
        <f t="shared" si="187"/>
        <v>17</v>
      </c>
      <c r="U153" s="7">
        <f t="shared" si="187"/>
        <v>0</v>
      </c>
      <c r="V153" s="7">
        <f t="shared" si="187"/>
        <v>17</v>
      </c>
      <c r="W153" s="7">
        <f t="shared" si="187"/>
        <v>22</v>
      </c>
      <c r="X153" s="7">
        <f t="shared" si="187"/>
        <v>33</v>
      </c>
      <c r="Y153" s="7">
        <f t="shared" si="187"/>
        <v>-1</v>
      </c>
      <c r="Z153" s="7">
        <f t="shared" si="187"/>
        <v>-19</v>
      </c>
      <c r="AA153" s="7">
        <f t="shared" si="187"/>
        <v>56</v>
      </c>
      <c r="AB153" s="7">
        <f t="shared" si="187"/>
        <v>-7</v>
      </c>
      <c r="AC153" s="7">
        <f t="shared" si="187"/>
        <v>49</v>
      </c>
      <c r="AD153" s="7">
        <f t="shared" si="187"/>
        <v>45</v>
      </c>
      <c r="AE153" s="7">
        <f t="shared" si="187"/>
        <v>66</v>
      </c>
      <c r="AF153" s="7">
        <f t="shared" si="187"/>
        <v>38</v>
      </c>
      <c r="AG153" s="7">
        <f t="shared" si="187"/>
        <v>38</v>
      </c>
      <c r="AH153" s="7">
        <f t="shared" si="187"/>
        <v>78</v>
      </c>
      <c r="AI153" s="7">
        <f t="shared" si="187"/>
        <v>49</v>
      </c>
      <c r="AJ153" s="7">
        <f t="shared" si="187"/>
        <v>89</v>
      </c>
      <c r="AK153" s="7">
        <f t="shared" si="187"/>
        <v>62</v>
      </c>
      <c r="AL153" s="7">
        <f t="shared" si="187"/>
        <v>80</v>
      </c>
      <c r="AM153" s="7">
        <f t="shared" si="187"/>
        <v>69</v>
      </c>
      <c r="AN153" s="7">
        <f t="shared" si="187"/>
        <v>70</v>
      </c>
      <c r="AO153" s="7">
        <f t="shared" si="187"/>
        <v>112</v>
      </c>
      <c r="AP153" s="7">
        <f t="shared" si="187"/>
        <v>73</v>
      </c>
      <c r="AQ153" s="7">
        <f t="shared" si="187"/>
        <v>88</v>
      </c>
      <c r="AR153" s="7">
        <f t="shared" si="187"/>
        <v>80</v>
      </c>
      <c r="AS153" s="7">
        <f t="shared" si="187"/>
        <v>93</v>
      </c>
      <c r="AT153" s="7">
        <f t="shared" si="187"/>
        <v>98</v>
      </c>
      <c r="AU153" s="7">
        <f t="shared" si="187"/>
        <v>124</v>
      </c>
      <c r="AV153" s="7">
        <f t="shared" si="187"/>
        <v>114</v>
      </c>
      <c r="AW153" s="7">
        <f t="shared" si="187"/>
        <v>130</v>
      </c>
      <c r="AX153" s="7">
        <f t="shared" si="187"/>
        <v>141</v>
      </c>
      <c r="AY153" s="7">
        <f t="shared" si="187"/>
        <v>148</v>
      </c>
      <c r="AZ153" s="7">
        <f t="shared" si="187"/>
        <v>168</v>
      </c>
      <c r="BA153" s="7">
        <f t="shared" si="187"/>
        <v>181</v>
      </c>
      <c r="BB153" s="7">
        <f t="shared" si="187"/>
        <v>187</v>
      </c>
      <c r="BC153" s="7">
        <f t="shared" si="187"/>
        <v>191</v>
      </c>
      <c r="BD153" s="7">
        <f t="shared" si="187"/>
        <v>232</v>
      </c>
      <c r="BE153" s="7">
        <f t="shared" si="187"/>
        <v>261</v>
      </c>
      <c r="BF153" s="7">
        <f t="shared" si="187"/>
        <v>270</v>
      </c>
      <c r="BG153" s="7">
        <f t="shared" si="187"/>
        <v>319</v>
      </c>
      <c r="BH153" s="7">
        <f t="shared" si="187"/>
        <v>375</v>
      </c>
      <c r="BI153" s="7">
        <f t="shared" si="187"/>
        <v>327</v>
      </c>
      <c r="BJ153" s="7">
        <f t="shared" si="187"/>
        <v>391</v>
      </c>
      <c r="BK153" s="7">
        <f t="shared" si="187"/>
        <v>338</v>
      </c>
      <c r="BL153" s="7">
        <f t="shared" si="187"/>
        <v>328</v>
      </c>
      <c r="BM153" s="7">
        <f t="shared" si="187"/>
        <v>318</v>
      </c>
      <c r="BN153" s="7">
        <f t="shared" si="187"/>
        <v>359</v>
      </c>
      <c r="BO153" s="7">
        <f t="shared" si="187"/>
        <v>413</v>
      </c>
      <c r="BP153" s="7">
        <f t="shared" si="187"/>
        <v>449</v>
      </c>
      <c r="BQ153" s="7">
        <f t="shared" ref="BQ153:CY153" si="188">BR30-BQ80</f>
        <v>452</v>
      </c>
      <c r="BR153" s="7">
        <f t="shared" si="188"/>
        <v>438</v>
      </c>
      <c r="BS153" s="7">
        <f t="shared" si="188"/>
        <v>520</v>
      </c>
      <c r="BT153" s="7">
        <f t="shared" si="188"/>
        <v>517</v>
      </c>
      <c r="BU153" s="7">
        <f t="shared" si="188"/>
        <v>611</v>
      </c>
      <c r="BV153" s="7">
        <f t="shared" si="188"/>
        <v>680</v>
      </c>
      <c r="BW153" s="7">
        <f t="shared" si="188"/>
        <v>720</v>
      </c>
      <c r="BX153" s="7">
        <f t="shared" si="188"/>
        <v>798</v>
      </c>
      <c r="BY153" s="7">
        <f t="shared" si="188"/>
        <v>859</v>
      </c>
      <c r="BZ153" s="7">
        <f t="shared" si="188"/>
        <v>954</v>
      </c>
      <c r="CA153" s="7">
        <f t="shared" si="188"/>
        <v>1054</v>
      </c>
      <c r="CB153" s="7">
        <f t="shared" si="188"/>
        <v>1145</v>
      </c>
      <c r="CC153" s="7">
        <f t="shared" si="188"/>
        <v>1210</v>
      </c>
      <c r="CD153" s="7">
        <f t="shared" si="188"/>
        <v>1408</v>
      </c>
      <c r="CE153" s="7">
        <f t="shared" si="188"/>
        <v>1670</v>
      </c>
      <c r="CF153" s="7">
        <f t="shared" si="188"/>
        <v>1617</v>
      </c>
      <c r="CG153" s="7">
        <f t="shared" si="188"/>
        <v>1702</v>
      </c>
      <c r="CH153" s="7">
        <f t="shared" si="188"/>
        <v>1893</v>
      </c>
      <c r="CI153" s="7">
        <f t="shared" si="188"/>
        <v>1611</v>
      </c>
      <c r="CJ153" s="7">
        <f t="shared" si="188"/>
        <v>1595</v>
      </c>
      <c r="CK153" s="7">
        <f t="shared" si="188"/>
        <v>1685</v>
      </c>
      <c r="CL153" s="7">
        <f t="shared" si="188"/>
        <v>1566</v>
      </c>
      <c r="CM153" s="7">
        <f t="shared" si="188"/>
        <v>1464</v>
      </c>
      <c r="CN153" s="7">
        <f t="shared" si="188"/>
        <v>1400</v>
      </c>
      <c r="CO153" s="7">
        <f t="shared" si="188"/>
        <v>1255</v>
      </c>
      <c r="CP153" s="7">
        <f t="shared" si="188"/>
        <v>1077</v>
      </c>
      <c r="CQ153" s="7">
        <f t="shared" si="188"/>
        <v>985</v>
      </c>
      <c r="CR153" s="7">
        <f t="shared" si="188"/>
        <v>779</v>
      </c>
      <c r="CS153" s="7">
        <f t="shared" si="188"/>
        <v>582</v>
      </c>
      <c r="CT153" s="7">
        <f t="shared" si="188"/>
        <v>469</v>
      </c>
      <c r="CU153" s="7">
        <f t="shared" si="188"/>
        <v>377</v>
      </c>
      <c r="CV153" s="7">
        <f t="shared" si="188"/>
        <v>237</v>
      </c>
      <c r="CW153" s="7">
        <f t="shared" si="188"/>
        <v>157</v>
      </c>
      <c r="CX153" s="7">
        <f t="shared" si="188"/>
        <v>108</v>
      </c>
      <c r="CY153" s="7">
        <f t="shared" si="188"/>
        <v>78</v>
      </c>
      <c r="CZ153" s="8"/>
    </row>
    <row r="154" spans="1:104" x14ac:dyDescent="0.3">
      <c r="A154" s="10">
        <v>2005</v>
      </c>
      <c r="B154" s="8"/>
      <c r="C154" s="7">
        <f t="shared" si="186"/>
        <v>46</v>
      </c>
      <c r="D154" s="7">
        <f t="shared" si="186"/>
        <v>2</v>
      </c>
      <c r="E154" s="7">
        <f t="shared" ref="E154:BP154" si="189">F31-E81</f>
        <v>9</v>
      </c>
      <c r="F154" s="7">
        <f t="shared" si="189"/>
        <v>-5</v>
      </c>
      <c r="G154" s="7">
        <f t="shared" si="189"/>
        <v>29</v>
      </c>
      <c r="H154" s="7">
        <f t="shared" si="189"/>
        <v>10</v>
      </c>
      <c r="I154" s="7">
        <f t="shared" si="189"/>
        <v>0</v>
      </c>
      <c r="J154" s="7">
        <f t="shared" si="189"/>
        <v>8</v>
      </c>
      <c r="K154" s="7">
        <f t="shared" si="189"/>
        <v>17</v>
      </c>
      <c r="L154" s="7">
        <f t="shared" si="189"/>
        <v>5</v>
      </c>
      <c r="M154" s="7">
        <f t="shared" si="189"/>
        <v>16</v>
      </c>
      <c r="N154" s="7">
        <f t="shared" si="189"/>
        <v>3</v>
      </c>
      <c r="O154" s="7">
        <f t="shared" si="189"/>
        <v>5</v>
      </c>
      <c r="P154" s="7">
        <f t="shared" si="189"/>
        <v>2</v>
      </c>
      <c r="Q154" s="7">
        <f t="shared" si="189"/>
        <v>14</v>
      </c>
      <c r="R154" s="7">
        <f t="shared" si="189"/>
        <v>9</v>
      </c>
      <c r="S154" s="7">
        <f t="shared" si="189"/>
        <v>19</v>
      </c>
      <c r="T154" s="7">
        <f t="shared" si="189"/>
        <v>13</v>
      </c>
      <c r="U154" s="7">
        <f t="shared" si="189"/>
        <v>9</v>
      </c>
      <c r="V154" s="7">
        <f t="shared" si="189"/>
        <v>34</v>
      </c>
      <c r="W154" s="7">
        <f t="shared" si="189"/>
        <v>27</v>
      </c>
      <c r="X154" s="7">
        <f t="shared" si="189"/>
        <v>25</v>
      </c>
      <c r="Y154" s="7">
        <f t="shared" si="189"/>
        <v>1</v>
      </c>
      <c r="Z154" s="7">
        <f t="shared" si="189"/>
        <v>32</v>
      </c>
      <c r="AA154" s="7">
        <f t="shared" si="189"/>
        <v>14</v>
      </c>
      <c r="AB154" s="7">
        <f t="shared" si="189"/>
        <v>56</v>
      </c>
      <c r="AC154" s="7">
        <f t="shared" si="189"/>
        <v>30</v>
      </c>
      <c r="AD154" s="7">
        <f t="shared" si="189"/>
        <v>33</v>
      </c>
      <c r="AE154" s="7">
        <f t="shared" si="189"/>
        <v>43</v>
      </c>
      <c r="AF154" s="7">
        <f t="shared" si="189"/>
        <v>68</v>
      </c>
      <c r="AG154" s="7">
        <f t="shared" si="189"/>
        <v>38</v>
      </c>
      <c r="AH154" s="7">
        <f t="shared" si="189"/>
        <v>63</v>
      </c>
      <c r="AI154" s="7">
        <f t="shared" si="189"/>
        <v>55</v>
      </c>
      <c r="AJ154" s="7">
        <f t="shared" si="189"/>
        <v>62</v>
      </c>
      <c r="AK154" s="7">
        <f t="shared" si="189"/>
        <v>56</v>
      </c>
      <c r="AL154" s="7">
        <f t="shared" si="189"/>
        <v>64</v>
      </c>
      <c r="AM154" s="7">
        <f t="shared" si="189"/>
        <v>76</v>
      </c>
      <c r="AN154" s="7">
        <f t="shared" si="189"/>
        <v>69</v>
      </c>
      <c r="AO154" s="7">
        <f t="shared" si="189"/>
        <v>74</v>
      </c>
      <c r="AP154" s="7">
        <f t="shared" si="189"/>
        <v>86</v>
      </c>
      <c r="AQ154" s="7">
        <f t="shared" si="189"/>
        <v>90</v>
      </c>
      <c r="AR154" s="7">
        <f t="shared" si="189"/>
        <v>86</v>
      </c>
      <c r="AS154" s="7">
        <f t="shared" si="189"/>
        <v>61</v>
      </c>
      <c r="AT154" s="7">
        <f t="shared" si="189"/>
        <v>112</v>
      </c>
      <c r="AU154" s="7">
        <f t="shared" si="189"/>
        <v>104</v>
      </c>
      <c r="AV154" s="7">
        <f t="shared" si="189"/>
        <v>112</v>
      </c>
      <c r="AW154" s="7">
        <f t="shared" si="189"/>
        <v>117</v>
      </c>
      <c r="AX154" s="7">
        <f t="shared" si="189"/>
        <v>125</v>
      </c>
      <c r="AY154" s="7">
        <f t="shared" si="189"/>
        <v>161</v>
      </c>
      <c r="AZ154" s="7">
        <f t="shared" si="189"/>
        <v>162</v>
      </c>
      <c r="BA154" s="7">
        <f t="shared" si="189"/>
        <v>190</v>
      </c>
      <c r="BB154" s="7">
        <f t="shared" si="189"/>
        <v>190</v>
      </c>
      <c r="BC154" s="7">
        <f t="shared" si="189"/>
        <v>199</v>
      </c>
      <c r="BD154" s="7">
        <f t="shared" si="189"/>
        <v>233</v>
      </c>
      <c r="BE154" s="7">
        <f t="shared" si="189"/>
        <v>240</v>
      </c>
      <c r="BF154" s="7">
        <f t="shared" si="189"/>
        <v>256</v>
      </c>
      <c r="BG154" s="7">
        <f t="shared" si="189"/>
        <v>285</v>
      </c>
      <c r="BH154" s="7">
        <f t="shared" si="189"/>
        <v>315</v>
      </c>
      <c r="BI154" s="7">
        <f t="shared" si="189"/>
        <v>387</v>
      </c>
      <c r="BJ154" s="7">
        <f t="shared" si="189"/>
        <v>394</v>
      </c>
      <c r="BK154" s="7">
        <f t="shared" si="189"/>
        <v>376</v>
      </c>
      <c r="BL154" s="7">
        <f t="shared" si="189"/>
        <v>395</v>
      </c>
      <c r="BM154" s="7">
        <f t="shared" si="189"/>
        <v>343</v>
      </c>
      <c r="BN154" s="7">
        <f t="shared" si="189"/>
        <v>372</v>
      </c>
      <c r="BO154" s="7">
        <f t="shared" si="189"/>
        <v>445</v>
      </c>
      <c r="BP154" s="7">
        <f t="shared" si="189"/>
        <v>398</v>
      </c>
      <c r="BQ154" s="7">
        <f t="shared" ref="BQ154:CY154" si="190">BR31-BQ81</f>
        <v>422</v>
      </c>
      <c r="BR154" s="7">
        <f t="shared" si="190"/>
        <v>471</v>
      </c>
      <c r="BS154" s="7">
        <f t="shared" si="190"/>
        <v>503</v>
      </c>
      <c r="BT154" s="7">
        <f t="shared" si="190"/>
        <v>531</v>
      </c>
      <c r="BU154" s="7">
        <f t="shared" si="190"/>
        <v>581</v>
      </c>
      <c r="BV154" s="7">
        <f t="shared" si="190"/>
        <v>566</v>
      </c>
      <c r="BW154" s="7">
        <f t="shared" si="190"/>
        <v>721</v>
      </c>
      <c r="BX154" s="7">
        <f t="shared" si="190"/>
        <v>801</v>
      </c>
      <c r="BY154" s="7">
        <f t="shared" si="190"/>
        <v>888</v>
      </c>
      <c r="BZ154" s="7">
        <f t="shared" si="190"/>
        <v>949</v>
      </c>
      <c r="CA154" s="7">
        <f t="shared" si="190"/>
        <v>1015</v>
      </c>
      <c r="CB154" s="7">
        <f t="shared" si="190"/>
        <v>1093</v>
      </c>
      <c r="CC154" s="7">
        <f t="shared" si="190"/>
        <v>1296</v>
      </c>
      <c r="CD154" s="7">
        <f t="shared" si="190"/>
        <v>1329</v>
      </c>
      <c r="CE154" s="7">
        <f t="shared" si="190"/>
        <v>1463</v>
      </c>
      <c r="CF154" s="7">
        <f t="shared" si="190"/>
        <v>1582</v>
      </c>
      <c r="CG154" s="7">
        <f t="shared" si="190"/>
        <v>1645</v>
      </c>
      <c r="CH154" s="7">
        <f t="shared" si="190"/>
        <v>1650</v>
      </c>
      <c r="CI154" s="7">
        <f t="shared" si="190"/>
        <v>1912</v>
      </c>
      <c r="CJ154" s="7">
        <f t="shared" si="190"/>
        <v>1689</v>
      </c>
      <c r="CK154" s="7">
        <f t="shared" si="190"/>
        <v>1640</v>
      </c>
      <c r="CL154" s="7">
        <f t="shared" si="190"/>
        <v>1648</v>
      </c>
      <c r="CM154" s="7">
        <f t="shared" si="190"/>
        <v>1497</v>
      </c>
      <c r="CN154" s="7">
        <f t="shared" si="190"/>
        <v>1395</v>
      </c>
      <c r="CO154" s="7">
        <f t="shared" si="190"/>
        <v>1292</v>
      </c>
      <c r="CP154" s="7">
        <f t="shared" si="190"/>
        <v>1118</v>
      </c>
      <c r="CQ154" s="7">
        <f t="shared" si="190"/>
        <v>962</v>
      </c>
      <c r="CR154" s="7">
        <f t="shared" si="190"/>
        <v>804</v>
      </c>
      <c r="CS154" s="7">
        <f t="shared" si="190"/>
        <v>644</v>
      </c>
      <c r="CT154" s="7">
        <f t="shared" si="190"/>
        <v>533</v>
      </c>
      <c r="CU154" s="7">
        <f t="shared" si="190"/>
        <v>333</v>
      </c>
      <c r="CV154" s="7">
        <f t="shared" si="190"/>
        <v>292</v>
      </c>
      <c r="CW154" s="7">
        <f t="shared" si="190"/>
        <v>168</v>
      </c>
      <c r="CX154" s="7">
        <f t="shared" si="190"/>
        <v>138</v>
      </c>
      <c r="CY154" s="7">
        <f t="shared" si="190"/>
        <v>85</v>
      </c>
      <c r="CZ154" s="8"/>
    </row>
    <row r="155" spans="1:104" x14ac:dyDescent="0.3">
      <c r="A155" s="10">
        <v>2006</v>
      </c>
      <c r="B155" s="8"/>
      <c r="C155" s="7">
        <f t="shared" si="186"/>
        <v>19</v>
      </c>
      <c r="D155" s="7">
        <f t="shared" si="186"/>
        <v>-1</v>
      </c>
      <c r="E155" s="7">
        <f t="shared" ref="E155:BP155" si="191">F32-E82</f>
        <v>9</v>
      </c>
      <c r="F155" s="7">
        <f t="shared" si="191"/>
        <v>27</v>
      </c>
      <c r="G155" s="7">
        <f t="shared" si="191"/>
        <v>2</v>
      </c>
      <c r="H155" s="7">
        <f t="shared" si="191"/>
        <v>5</v>
      </c>
      <c r="I155" s="7">
        <f t="shared" si="191"/>
        <v>12</v>
      </c>
      <c r="J155" s="7">
        <f t="shared" si="191"/>
        <v>8</v>
      </c>
      <c r="K155" s="7">
        <f t="shared" si="191"/>
        <v>7</v>
      </c>
      <c r="L155" s="7">
        <f t="shared" si="191"/>
        <v>15</v>
      </c>
      <c r="M155" s="7">
        <f t="shared" si="191"/>
        <v>11</v>
      </c>
      <c r="N155" s="7">
        <f t="shared" si="191"/>
        <v>-1</v>
      </c>
      <c r="O155" s="7">
        <f t="shared" si="191"/>
        <v>2</v>
      </c>
      <c r="P155" s="7">
        <f t="shared" si="191"/>
        <v>11</v>
      </c>
      <c r="Q155" s="7">
        <f t="shared" si="191"/>
        <v>9</v>
      </c>
      <c r="R155" s="7">
        <f t="shared" si="191"/>
        <v>25</v>
      </c>
      <c r="S155" s="7">
        <f t="shared" si="191"/>
        <v>15</v>
      </c>
      <c r="T155" s="7">
        <f t="shared" si="191"/>
        <v>4</v>
      </c>
      <c r="U155" s="7">
        <f t="shared" si="191"/>
        <v>20</v>
      </c>
      <c r="V155" s="7">
        <f t="shared" si="191"/>
        <v>33</v>
      </c>
      <c r="W155" s="7">
        <f t="shared" si="191"/>
        <v>9</v>
      </c>
      <c r="X155" s="7">
        <f t="shared" si="191"/>
        <v>-20</v>
      </c>
      <c r="Y155" s="7">
        <f t="shared" si="191"/>
        <v>40</v>
      </c>
      <c r="Z155" s="7">
        <f t="shared" si="191"/>
        <v>9</v>
      </c>
      <c r="AA155" s="7">
        <f t="shared" si="191"/>
        <v>32</v>
      </c>
      <c r="AB155" s="7">
        <f t="shared" si="191"/>
        <v>43</v>
      </c>
      <c r="AC155" s="7">
        <f t="shared" si="191"/>
        <v>53</v>
      </c>
      <c r="AD155" s="7">
        <f t="shared" si="191"/>
        <v>34</v>
      </c>
      <c r="AE155" s="7">
        <f t="shared" si="191"/>
        <v>71</v>
      </c>
      <c r="AF155" s="7">
        <f t="shared" si="191"/>
        <v>22</v>
      </c>
      <c r="AG155" s="7">
        <f t="shared" si="191"/>
        <v>38</v>
      </c>
      <c r="AH155" s="7">
        <f t="shared" si="191"/>
        <v>68</v>
      </c>
      <c r="AI155" s="7">
        <f t="shared" si="191"/>
        <v>62</v>
      </c>
      <c r="AJ155" s="7">
        <f t="shared" si="191"/>
        <v>51</v>
      </c>
      <c r="AK155" s="7">
        <f t="shared" si="191"/>
        <v>63</v>
      </c>
      <c r="AL155" s="7">
        <f t="shared" si="191"/>
        <v>57</v>
      </c>
      <c r="AM155" s="7">
        <f t="shared" si="191"/>
        <v>70</v>
      </c>
      <c r="AN155" s="7">
        <f t="shared" si="191"/>
        <v>67</v>
      </c>
      <c r="AO155" s="7">
        <f t="shared" si="191"/>
        <v>76</v>
      </c>
      <c r="AP155" s="7">
        <f t="shared" si="191"/>
        <v>71</v>
      </c>
      <c r="AQ155" s="7">
        <f t="shared" si="191"/>
        <v>64</v>
      </c>
      <c r="AR155" s="7">
        <f t="shared" si="191"/>
        <v>81</v>
      </c>
      <c r="AS155" s="7">
        <f t="shared" si="191"/>
        <v>78</v>
      </c>
      <c r="AT155" s="7">
        <f t="shared" si="191"/>
        <v>92</v>
      </c>
      <c r="AU155" s="7">
        <f t="shared" si="191"/>
        <v>100</v>
      </c>
      <c r="AV155" s="7">
        <f t="shared" si="191"/>
        <v>129</v>
      </c>
      <c r="AW155" s="7">
        <f t="shared" si="191"/>
        <v>113</v>
      </c>
      <c r="AX155" s="7">
        <f t="shared" si="191"/>
        <v>129</v>
      </c>
      <c r="AY155" s="7">
        <f t="shared" si="191"/>
        <v>170</v>
      </c>
      <c r="AZ155" s="7">
        <f t="shared" si="191"/>
        <v>154</v>
      </c>
      <c r="BA155" s="7">
        <f t="shared" si="191"/>
        <v>170</v>
      </c>
      <c r="BB155" s="7">
        <f t="shared" si="191"/>
        <v>191</v>
      </c>
      <c r="BC155" s="7">
        <f t="shared" si="191"/>
        <v>208</v>
      </c>
      <c r="BD155" s="7">
        <f t="shared" si="191"/>
        <v>216</v>
      </c>
      <c r="BE155" s="7">
        <f t="shared" si="191"/>
        <v>228</v>
      </c>
      <c r="BF155" s="7">
        <f t="shared" si="191"/>
        <v>259</v>
      </c>
      <c r="BG155" s="7">
        <f t="shared" si="191"/>
        <v>290</v>
      </c>
      <c r="BH155" s="7">
        <f t="shared" si="191"/>
        <v>299</v>
      </c>
      <c r="BI155" s="7">
        <f t="shared" si="191"/>
        <v>344</v>
      </c>
      <c r="BJ155" s="7">
        <f t="shared" si="191"/>
        <v>407</v>
      </c>
      <c r="BK155" s="7">
        <f t="shared" si="191"/>
        <v>403</v>
      </c>
      <c r="BL155" s="7">
        <f t="shared" si="191"/>
        <v>445</v>
      </c>
      <c r="BM155" s="7">
        <f t="shared" si="191"/>
        <v>433</v>
      </c>
      <c r="BN155" s="7">
        <f t="shared" si="191"/>
        <v>416</v>
      </c>
      <c r="BO155" s="7">
        <f t="shared" si="191"/>
        <v>354</v>
      </c>
      <c r="BP155" s="7">
        <f t="shared" si="191"/>
        <v>396</v>
      </c>
      <c r="BQ155" s="7">
        <f t="shared" ref="BQ155:CY155" si="192">BR32-BQ82</f>
        <v>451</v>
      </c>
      <c r="BR155" s="7">
        <f t="shared" si="192"/>
        <v>486</v>
      </c>
      <c r="BS155" s="7">
        <f t="shared" si="192"/>
        <v>529</v>
      </c>
      <c r="BT155" s="7">
        <f t="shared" si="192"/>
        <v>461</v>
      </c>
      <c r="BU155" s="7">
        <f t="shared" si="192"/>
        <v>496</v>
      </c>
      <c r="BV155" s="7">
        <f t="shared" si="192"/>
        <v>609</v>
      </c>
      <c r="BW155" s="7">
        <f t="shared" si="192"/>
        <v>683</v>
      </c>
      <c r="BX155" s="7">
        <f t="shared" si="192"/>
        <v>724</v>
      </c>
      <c r="BY155" s="7">
        <f t="shared" si="192"/>
        <v>839</v>
      </c>
      <c r="BZ155" s="7">
        <f t="shared" si="192"/>
        <v>913</v>
      </c>
      <c r="CA155" s="7">
        <f t="shared" si="192"/>
        <v>951</v>
      </c>
      <c r="CB155" s="7">
        <f t="shared" si="192"/>
        <v>1044</v>
      </c>
      <c r="CC155" s="7">
        <f t="shared" si="192"/>
        <v>1168</v>
      </c>
      <c r="CD155" s="7">
        <f t="shared" si="192"/>
        <v>1271</v>
      </c>
      <c r="CE155" s="7">
        <f t="shared" si="192"/>
        <v>1377</v>
      </c>
      <c r="CF155" s="7">
        <f t="shared" si="192"/>
        <v>1542</v>
      </c>
      <c r="CG155" s="7">
        <f t="shared" si="192"/>
        <v>1718</v>
      </c>
      <c r="CH155" s="7">
        <f t="shared" si="192"/>
        <v>1736</v>
      </c>
      <c r="CI155" s="7">
        <f t="shared" si="192"/>
        <v>1858</v>
      </c>
      <c r="CJ155" s="7">
        <f t="shared" si="192"/>
        <v>1933</v>
      </c>
      <c r="CK155" s="7">
        <f t="shared" si="192"/>
        <v>1579</v>
      </c>
      <c r="CL155" s="7">
        <f t="shared" si="192"/>
        <v>1633</v>
      </c>
      <c r="CM155" s="7">
        <f t="shared" si="192"/>
        <v>1612</v>
      </c>
      <c r="CN155" s="7">
        <f t="shared" si="192"/>
        <v>1472</v>
      </c>
      <c r="CO155" s="7">
        <f t="shared" si="192"/>
        <v>1268</v>
      </c>
      <c r="CP155" s="7">
        <f t="shared" si="192"/>
        <v>1171</v>
      </c>
      <c r="CQ155" s="7">
        <f t="shared" si="192"/>
        <v>1005</v>
      </c>
      <c r="CR155" s="7">
        <f t="shared" si="192"/>
        <v>834</v>
      </c>
      <c r="CS155" s="7">
        <f t="shared" si="192"/>
        <v>688</v>
      </c>
      <c r="CT155" s="7">
        <f t="shared" si="192"/>
        <v>518</v>
      </c>
      <c r="CU155" s="7">
        <f t="shared" si="192"/>
        <v>432</v>
      </c>
      <c r="CV155" s="7">
        <f t="shared" si="192"/>
        <v>294</v>
      </c>
      <c r="CW155" s="7">
        <f t="shared" si="192"/>
        <v>202</v>
      </c>
      <c r="CX155" s="7">
        <f t="shared" si="192"/>
        <v>132</v>
      </c>
      <c r="CY155" s="7">
        <f t="shared" si="192"/>
        <v>70</v>
      </c>
      <c r="CZ155" s="8"/>
    </row>
    <row r="156" spans="1:104" x14ac:dyDescent="0.3">
      <c r="A156" s="10">
        <v>2007</v>
      </c>
      <c r="B156" s="8"/>
      <c r="C156" s="7">
        <f t="shared" si="186"/>
        <v>31</v>
      </c>
      <c r="D156" s="7">
        <f t="shared" si="186"/>
        <v>11</v>
      </c>
      <c r="E156" s="7">
        <f t="shared" ref="E156:BP156" si="193">F33-E83</f>
        <v>6</v>
      </c>
      <c r="F156" s="7">
        <f t="shared" si="193"/>
        <v>19</v>
      </c>
      <c r="G156" s="7">
        <f t="shared" si="193"/>
        <v>10</v>
      </c>
      <c r="H156" s="7">
        <f t="shared" si="193"/>
        <v>2</v>
      </c>
      <c r="I156" s="7">
        <f t="shared" si="193"/>
        <v>6</v>
      </c>
      <c r="J156" s="7">
        <f t="shared" si="193"/>
        <v>7</v>
      </c>
      <c r="K156" s="7">
        <f t="shared" si="193"/>
        <v>9</v>
      </c>
      <c r="L156" s="7">
        <f t="shared" si="193"/>
        <v>8</v>
      </c>
      <c r="M156" s="7">
        <f t="shared" si="193"/>
        <v>1</v>
      </c>
      <c r="N156" s="7">
        <f t="shared" si="193"/>
        <v>16</v>
      </c>
      <c r="O156" s="7">
        <f t="shared" si="193"/>
        <v>12</v>
      </c>
      <c r="P156" s="7">
        <f t="shared" si="193"/>
        <v>-4</v>
      </c>
      <c r="Q156" s="7">
        <f t="shared" si="193"/>
        <v>8</v>
      </c>
      <c r="R156" s="7">
        <f t="shared" si="193"/>
        <v>16</v>
      </c>
      <c r="S156" s="7">
        <f t="shared" si="193"/>
        <v>14</v>
      </c>
      <c r="T156" s="7">
        <f t="shared" si="193"/>
        <v>17</v>
      </c>
      <c r="U156" s="7">
        <f t="shared" si="193"/>
        <v>27</v>
      </c>
      <c r="V156" s="7">
        <f t="shared" si="193"/>
        <v>17</v>
      </c>
      <c r="W156" s="7">
        <f t="shared" si="193"/>
        <v>11</v>
      </c>
      <c r="X156" s="7">
        <f t="shared" si="193"/>
        <v>26</v>
      </c>
      <c r="Y156" s="7">
        <f t="shared" si="193"/>
        <v>30</v>
      </c>
      <c r="Z156" s="7">
        <f t="shared" si="193"/>
        <v>22</v>
      </c>
      <c r="AA156" s="7">
        <f t="shared" si="193"/>
        <v>34</v>
      </c>
      <c r="AB156" s="7">
        <f t="shared" si="193"/>
        <v>30</v>
      </c>
      <c r="AC156" s="7">
        <f t="shared" si="193"/>
        <v>39</v>
      </c>
      <c r="AD156" s="7">
        <f t="shared" si="193"/>
        <v>50</v>
      </c>
      <c r="AE156" s="7">
        <f t="shared" si="193"/>
        <v>40</v>
      </c>
      <c r="AF156" s="7">
        <f t="shared" si="193"/>
        <v>55</v>
      </c>
      <c r="AG156" s="7">
        <f t="shared" si="193"/>
        <v>24</v>
      </c>
      <c r="AH156" s="7">
        <f t="shared" si="193"/>
        <v>58</v>
      </c>
      <c r="AI156" s="7">
        <f t="shared" si="193"/>
        <v>54</v>
      </c>
      <c r="AJ156" s="7">
        <f t="shared" si="193"/>
        <v>21</v>
      </c>
      <c r="AK156" s="7">
        <f t="shared" si="193"/>
        <v>52</v>
      </c>
      <c r="AL156" s="7">
        <f t="shared" si="193"/>
        <v>75</v>
      </c>
      <c r="AM156" s="7">
        <f t="shared" si="193"/>
        <v>63</v>
      </c>
      <c r="AN156" s="7">
        <f t="shared" si="193"/>
        <v>60</v>
      </c>
      <c r="AO156" s="7">
        <f t="shared" si="193"/>
        <v>56</v>
      </c>
      <c r="AP156" s="7">
        <f t="shared" si="193"/>
        <v>58</v>
      </c>
      <c r="AQ156" s="7">
        <f t="shared" si="193"/>
        <v>61</v>
      </c>
      <c r="AR156" s="7">
        <f t="shared" si="193"/>
        <v>80</v>
      </c>
      <c r="AS156" s="7">
        <f t="shared" si="193"/>
        <v>68</v>
      </c>
      <c r="AT156" s="7">
        <f t="shared" si="193"/>
        <v>107</v>
      </c>
      <c r="AU156" s="7">
        <f t="shared" si="193"/>
        <v>112</v>
      </c>
      <c r="AV156" s="7">
        <f t="shared" si="193"/>
        <v>106</v>
      </c>
      <c r="AW156" s="7">
        <f t="shared" si="193"/>
        <v>115</v>
      </c>
      <c r="AX156" s="7">
        <f t="shared" si="193"/>
        <v>123</v>
      </c>
      <c r="AY156" s="7">
        <f t="shared" si="193"/>
        <v>162</v>
      </c>
      <c r="AZ156" s="7">
        <f t="shared" si="193"/>
        <v>147</v>
      </c>
      <c r="BA156" s="7">
        <f t="shared" si="193"/>
        <v>169</v>
      </c>
      <c r="BB156" s="7">
        <f t="shared" si="193"/>
        <v>193</v>
      </c>
      <c r="BC156" s="7">
        <f t="shared" si="193"/>
        <v>215</v>
      </c>
      <c r="BD156" s="7">
        <f t="shared" si="193"/>
        <v>218</v>
      </c>
      <c r="BE156" s="7">
        <f t="shared" si="193"/>
        <v>217</v>
      </c>
      <c r="BF156" s="7">
        <f t="shared" si="193"/>
        <v>240</v>
      </c>
      <c r="BG156" s="7">
        <f t="shared" si="193"/>
        <v>273</v>
      </c>
      <c r="BH156" s="7">
        <f t="shared" si="193"/>
        <v>287</v>
      </c>
      <c r="BI156" s="7">
        <f t="shared" si="193"/>
        <v>324</v>
      </c>
      <c r="BJ156" s="7">
        <f t="shared" si="193"/>
        <v>419</v>
      </c>
      <c r="BK156" s="7">
        <f t="shared" si="193"/>
        <v>418</v>
      </c>
      <c r="BL156" s="7">
        <f t="shared" si="193"/>
        <v>413</v>
      </c>
      <c r="BM156" s="7">
        <f t="shared" si="193"/>
        <v>454</v>
      </c>
      <c r="BN156" s="7">
        <f t="shared" si="193"/>
        <v>432</v>
      </c>
      <c r="BO156" s="7">
        <f t="shared" si="193"/>
        <v>484</v>
      </c>
      <c r="BP156" s="7">
        <f t="shared" si="193"/>
        <v>405</v>
      </c>
      <c r="BQ156" s="7">
        <f t="shared" ref="BQ156:CY156" si="194">BR33-BQ83</f>
        <v>490</v>
      </c>
      <c r="BR156" s="7">
        <f t="shared" si="194"/>
        <v>510</v>
      </c>
      <c r="BS156" s="7">
        <f t="shared" si="194"/>
        <v>510</v>
      </c>
      <c r="BT156" s="7">
        <f t="shared" si="194"/>
        <v>533</v>
      </c>
      <c r="BU156" s="7">
        <f t="shared" si="194"/>
        <v>532</v>
      </c>
      <c r="BV156" s="7">
        <f t="shared" si="194"/>
        <v>605</v>
      </c>
      <c r="BW156" s="7">
        <f t="shared" si="194"/>
        <v>616</v>
      </c>
      <c r="BX156" s="7">
        <f t="shared" si="194"/>
        <v>708</v>
      </c>
      <c r="BY156" s="7">
        <f t="shared" si="194"/>
        <v>863</v>
      </c>
      <c r="BZ156" s="7">
        <f t="shared" si="194"/>
        <v>891</v>
      </c>
      <c r="CA156" s="7">
        <f t="shared" si="194"/>
        <v>1026</v>
      </c>
      <c r="CB156" s="7">
        <f t="shared" si="194"/>
        <v>1077</v>
      </c>
      <c r="CC156" s="7">
        <f t="shared" si="194"/>
        <v>1136</v>
      </c>
      <c r="CD156" s="7">
        <f t="shared" si="194"/>
        <v>1291</v>
      </c>
      <c r="CE156" s="7">
        <f t="shared" si="194"/>
        <v>1385</v>
      </c>
      <c r="CF156" s="7">
        <f t="shared" si="194"/>
        <v>1498</v>
      </c>
      <c r="CG156" s="7">
        <f t="shared" si="194"/>
        <v>1683</v>
      </c>
      <c r="CH156" s="7">
        <f t="shared" si="194"/>
        <v>1733</v>
      </c>
      <c r="CI156" s="7">
        <f t="shared" si="194"/>
        <v>1811</v>
      </c>
      <c r="CJ156" s="7">
        <f t="shared" si="194"/>
        <v>1868</v>
      </c>
      <c r="CK156" s="7">
        <f t="shared" si="194"/>
        <v>1966</v>
      </c>
      <c r="CL156" s="7">
        <f t="shared" si="194"/>
        <v>1576</v>
      </c>
      <c r="CM156" s="7">
        <f t="shared" si="194"/>
        <v>1641</v>
      </c>
      <c r="CN156" s="7">
        <f t="shared" si="194"/>
        <v>1550</v>
      </c>
      <c r="CO156" s="7">
        <f t="shared" si="194"/>
        <v>1344</v>
      </c>
      <c r="CP156" s="7">
        <f t="shared" si="194"/>
        <v>1170</v>
      </c>
      <c r="CQ156" s="7">
        <f t="shared" si="194"/>
        <v>1029</v>
      </c>
      <c r="CR156" s="7">
        <f t="shared" si="194"/>
        <v>871</v>
      </c>
      <c r="CS156" s="7">
        <f t="shared" si="194"/>
        <v>749</v>
      </c>
      <c r="CT156" s="7">
        <f t="shared" si="194"/>
        <v>556</v>
      </c>
      <c r="CU156" s="7">
        <f t="shared" si="194"/>
        <v>426</v>
      </c>
      <c r="CV156" s="7">
        <f t="shared" si="194"/>
        <v>307</v>
      </c>
      <c r="CW156" s="7">
        <f t="shared" si="194"/>
        <v>209</v>
      </c>
      <c r="CX156" s="7">
        <f t="shared" si="194"/>
        <v>149</v>
      </c>
      <c r="CY156" s="7">
        <f t="shared" si="194"/>
        <v>112</v>
      </c>
      <c r="CZ156" s="8"/>
    </row>
    <row r="157" spans="1:104" x14ac:dyDescent="0.3">
      <c r="A157" s="10">
        <v>2008</v>
      </c>
      <c r="B157" s="8"/>
      <c r="C157" s="7">
        <f t="shared" si="186"/>
        <v>38</v>
      </c>
      <c r="D157" s="7">
        <f t="shared" si="186"/>
        <v>34</v>
      </c>
      <c r="E157" s="7">
        <f t="shared" ref="E157:BP157" si="195">F34-E84</f>
        <v>6</v>
      </c>
      <c r="F157" s="7">
        <f t="shared" si="195"/>
        <v>7</v>
      </c>
      <c r="G157" s="7">
        <f t="shared" si="195"/>
        <v>8</v>
      </c>
      <c r="H157" s="7">
        <f t="shared" si="195"/>
        <v>13</v>
      </c>
      <c r="I157" s="7">
        <f t="shared" si="195"/>
        <v>10</v>
      </c>
      <c r="J157" s="7">
        <f t="shared" si="195"/>
        <v>2</v>
      </c>
      <c r="K157" s="7">
        <f t="shared" si="195"/>
        <v>12</v>
      </c>
      <c r="L157" s="7">
        <f t="shared" si="195"/>
        <v>14</v>
      </c>
      <c r="M157" s="7">
        <f t="shared" si="195"/>
        <v>-3</v>
      </c>
      <c r="N157" s="7">
        <f t="shared" si="195"/>
        <v>1</v>
      </c>
      <c r="O157" s="7">
        <f t="shared" si="195"/>
        <v>13</v>
      </c>
      <c r="P157" s="7">
        <f t="shared" si="195"/>
        <v>11</v>
      </c>
      <c r="Q157" s="7">
        <f t="shared" si="195"/>
        <v>10</v>
      </c>
      <c r="R157" s="7">
        <f t="shared" si="195"/>
        <v>9</v>
      </c>
      <c r="S157" s="7">
        <f t="shared" si="195"/>
        <v>19</v>
      </c>
      <c r="T157" s="7">
        <f t="shared" si="195"/>
        <v>28</v>
      </c>
      <c r="U157" s="7">
        <f t="shared" si="195"/>
        <v>26</v>
      </c>
      <c r="V157" s="7">
        <f t="shared" si="195"/>
        <v>9</v>
      </c>
      <c r="W157" s="7">
        <f t="shared" si="195"/>
        <v>13</v>
      </c>
      <c r="X157" s="7">
        <f t="shared" si="195"/>
        <v>-6</v>
      </c>
      <c r="Y157" s="7">
        <f t="shared" si="195"/>
        <v>23</v>
      </c>
      <c r="Z157" s="7">
        <f t="shared" si="195"/>
        <v>19</v>
      </c>
      <c r="AA157" s="7">
        <f t="shared" si="195"/>
        <v>13</v>
      </c>
      <c r="AB157" s="7">
        <f t="shared" si="195"/>
        <v>49</v>
      </c>
      <c r="AC157" s="7">
        <f t="shared" si="195"/>
        <v>48</v>
      </c>
      <c r="AD157" s="7">
        <f t="shared" si="195"/>
        <v>66</v>
      </c>
      <c r="AE157" s="7">
        <f t="shared" si="195"/>
        <v>14</v>
      </c>
      <c r="AF157" s="7">
        <f t="shared" si="195"/>
        <v>41</v>
      </c>
      <c r="AG157" s="7">
        <f t="shared" si="195"/>
        <v>36</v>
      </c>
      <c r="AH157" s="7">
        <f t="shared" si="195"/>
        <v>57</v>
      </c>
      <c r="AI157" s="7">
        <f t="shared" si="195"/>
        <v>39</v>
      </c>
      <c r="AJ157" s="7">
        <f t="shared" si="195"/>
        <v>60</v>
      </c>
      <c r="AK157" s="7">
        <f t="shared" si="195"/>
        <v>32</v>
      </c>
      <c r="AL157" s="7">
        <f t="shared" si="195"/>
        <v>63</v>
      </c>
      <c r="AM157" s="7">
        <f t="shared" si="195"/>
        <v>52</v>
      </c>
      <c r="AN157" s="7">
        <f t="shared" si="195"/>
        <v>65</v>
      </c>
      <c r="AO157" s="7">
        <f t="shared" si="195"/>
        <v>93</v>
      </c>
      <c r="AP157" s="7">
        <f t="shared" si="195"/>
        <v>57</v>
      </c>
      <c r="AQ157" s="7">
        <f t="shared" si="195"/>
        <v>62</v>
      </c>
      <c r="AR157" s="7">
        <f t="shared" si="195"/>
        <v>78</v>
      </c>
      <c r="AS157" s="7">
        <f t="shared" si="195"/>
        <v>108</v>
      </c>
      <c r="AT157" s="7">
        <f t="shared" si="195"/>
        <v>95</v>
      </c>
      <c r="AU157" s="7">
        <f t="shared" si="195"/>
        <v>87</v>
      </c>
      <c r="AV157" s="7">
        <f t="shared" si="195"/>
        <v>106</v>
      </c>
      <c r="AW157" s="7">
        <f t="shared" si="195"/>
        <v>109</v>
      </c>
      <c r="AX157" s="7">
        <f t="shared" si="195"/>
        <v>136</v>
      </c>
      <c r="AY157" s="7">
        <f t="shared" si="195"/>
        <v>146</v>
      </c>
      <c r="AZ157" s="7">
        <f t="shared" si="195"/>
        <v>134</v>
      </c>
      <c r="BA157" s="7">
        <f t="shared" si="195"/>
        <v>173</v>
      </c>
      <c r="BB157" s="7">
        <f t="shared" si="195"/>
        <v>187</v>
      </c>
      <c r="BC157" s="7">
        <f t="shared" si="195"/>
        <v>220</v>
      </c>
      <c r="BD157" s="7">
        <f t="shared" si="195"/>
        <v>204</v>
      </c>
      <c r="BE157" s="7">
        <f t="shared" si="195"/>
        <v>222</v>
      </c>
      <c r="BF157" s="7">
        <f t="shared" si="195"/>
        <v>253</v>
      </c>
      <c r="BG157" s="7">
        <f t="shared" si="195"/>
        <v>250</v>
      </c>
      <c r="BH157" s="7">
        <f t="shared" si="195"/>
        <v>283</v>
      </c>
      <c r="BI157" s="7">
        <f t="shared" si="195"/>
        <v>311</v>
      </c>
      <c r="BJ157" s="7">
        <f t="shared" si="195"/>
        <v>379</v>
      </c>
      <c r="BK157" s="7">
        <f t="shared" si="195"/>
        <v>386</v>
      </c>
      <c r="BL157" s="7">
        <f t="shared" si="195"/>
        <v>459</v>
      </c>
      <c r="BM157" s="7">
        <f t="shared" si="195"/>
        <v>521</v>
      </c>
      <c r="BN157" s="7">
        <f t="shared" si="195"/>
        <v>483</v>
      </c>
      <c r="BO157" s="7">
        <f t="shared" si="195"/>
        <v>471</v>
      </c>
      <c r="BP157" s="7">
        <f t="shared" si="195"/>
        <v>494</v>
      </c>
      <c r="BQ157" s="7">
        <f t="shared" ref="BQ157:CY157" si="196">BR34-BQ84</f>
        <v>450</v>
      </c>
      <c r="BR157" s="7">
        <f t="shared" si="196"/>
        <v>534</v>
      </c>
      <c r="BS157" s="7">
        <f t="shared" si="196"/>
        <v>515</v>
      </c>
      <c r="BT157" s="7">
        <f t="shared" si="196"/>
        <v>510</v>
      </c>
      <c r="BU157" s="7">
        <f t="shared" si="196"/>
        <v>580</v>
      </c>
      <c r="BV157" s="7">
        <f t="shared" si="196"/>
        <v>604</v>
      </c>
      <c r="BW157" s="7">
        <f t="shared" si="196"/>
        <v>655</v>
      </c>
      <c r="BX157" s="7">
        <f t="shared" si="196"/>
        <v>659</v>
      </c>
      <c r="BY157" s="7">
        <f t="shared" si="196"/>
        <v>765</v>
      </c>
      <c r="BZ157" s="7">
        <f t="shared" si="196"/>
        <v>832</v>
      </c>
      <c r="CA157" s="7">
        <f t="shared" si="196"/>
        <v>946</v>
      </c>
      <c r="CB157" s="7">
        <f t="shared" si="196"/>
        <v>1099</v>
      </c>
      <c r="CC157" s="7">
        <f t="shared" si="196"/>
        <v>1204</v>
      </c>
      <c r="CD157" s="7">
        <f t="shared" si="196"/>
        <v>1218</v>
      </c>
      <c r="CE157" s="7">
        <f t="shared" si="196"/>
        <v>1320</v>
      </c>
      <c r="CF157" s="7">
        <f t="shared" si="196"/>
        <v>1422</v>
      </c>
      <c r="CG157" s="7">
        <f t="shared" si="196"/>
        <v>1530</v>
      </c>
      <c r="CH157" s="7">
        <f t="shared" si="196"/>
        <v>1702</v>
      </c>
      <c r="CI157" s="7">
        <f t="shared" si="196"/>
        <v>1777</v>
      </c>
      <c r="CJ157" s="7">
        <f t="shared" si="196"/>
        <v>1777</v>
      </c>
      <c r="CK157" s="7">
        <f t="shared" si="196"/>
        <v>1915</v>
      </c>
      <c r="CL157" s="7">
        <f t="shared" si="196"/>
        <v>1924</v>
      </c>
      <c r="CM157" s="7">
        <f t="shared" si="196"/>
        <v>1433</v>
      </c>
      <c r="CN157" s="7">
        <f t="shared" si="196"/>
        <v>1504</v>
      </c>
      <c r="CO157" s="7">
        <f t="shared" si="196"/>
        <v>1433</v>
      </c>
      <c r="CP157" s="7">
        <f t="shared" si="196"/>
        <v>1270</v>
      </c>
      <c r="CQ157" s="7">
        <f t="shared" si="196"/>
        <v>1026</v>
      </c>
      <c r="CR157" s="7">
        <f t="shared" si="196"/>
        <v>879</v>
      </c>
      <c r="CS157" s="7">
        <f t="shared" si="196"/>
        <v>690</v>
      </c>
      <c r="CT157" s="7">
        <f t="shared" si="196"/>
        <v>619</v>
      </c>
      <c r="CU157" s="7">
        <f t="shared" si="196"/>
        <v>412</v>
      </c>
      <c r="CV157" s="7">
        <f t="shared" si="196"/>
        <v>321</v>
      </c>
      <c r="CW157" s="7">
        <f t="shared" si="196"/>
        <v>199</v>
      </c>
      <c r="CX157" s="7">
        <f t="shared" si="196"/>
        <v>160</v>
      </c>
      <c r="CY157" s="7">
        <f t="shared" si="196"/>
        <v>98</v>
      </c>
      <c r="CZ157" s="8"/>
    </row>
    <row r="158" spans="1:104" x14ac:dyDescent="0.3">
      <c r="A158" s="10">
        <v>2009</v>
      </c>
      <c r="B158" s="8"/>
      <c r="C158" s="7">
        <f t="shared" si="186"/>
        <v>27</v>
      </c>
      <c r="D158" s="7">
        <f t="shared" si="186"/>
        <v>32</v>
      </c>
      <c r="E158" s="7">
        <f t="shared" ref="E158:BP158" si="197">F35-E85</f>
        <v>24</v>
      </c>
      <c r="F158" s="7">
        <f t="shared" si="197"/>
        <v>3</v>
      </c>
      <c r="G158" s="7">
        <f t="shared" si="197"/>
        <v>14</v>
      </c>
      <c r="H158" s="7">
        <f t="shared" si="197"/>
        <v>14</v>
      </c>
      <c r="I158" s="7">
        <f t="shared" si="197"/>
        <v>3</v>
      </c>
      <c r="J158" s="7">
        <f t="shared" si="197"/>
        <v>21</v>
      </c>
      <c r="K158" s="7">
        <f t="shared" si="197"/>
        <v>5</v>
      </c>
      <c r="L158" s="7">
        <f t="shared" si="197"/>
        <v>0</v>
      </c>
      <c r="M158" s="7">
        <f t="shared" si="197"/>
        <v>12</v>
      </c>
      <c r="N158" s="7">
        <f t="shared" si="197"/>
        <v>1</v>
      </c>
      <c r="O158" s="7">
        <f t="shared" si="197"/>
        <v>10</v>
      </c>
      <c r="P158" s="7">
        <f t="shared" si="197"/>
        <v>9</v>
      </c>
      <c r="Q158" s="7">
        <f t="shared" si="197"/>
        <v>17</v>
      </c>
      <c r="R158" s="7">
        <f t="shared" si="197"/>
        <v>5</v>
      </c>
      <c r="S158" s="7">
        <f t="shared" si="197"/>
        <v>14</v>
      </c>
      <c r="T158" s="7">
        <f t="shared" si="197"/>
        <v>15</v>
      </c>
      <c r="U158" s="7">
        <f t="shared" si="197"/>
        <v>-5</v>
      </c>
      <c r="V158" s="7">
        <f t="shared" si="197"/>
        <v>52</v>
      </c>
      <c r="W158" s="7">
        <f t="shared" si="197"/>
        <v>-60</v>
      </c>
      <c r="X158" s="7">
        <f t="shared" si="197"/>
        <v>-8</v>
      </c>
      <c r="Y158" s="7">
        <f t="shared" si="197"/>
        <v>-13</v>
      </c>
      <c r="Z158" s="7">
        <f t="shared" si="197"/>
        <v>11</v>
      </c>
      <c r="AA158" s="7">
        <f t="shared" si="197"/>
        <v>33</v>
      </c>
      <c r="AB158" s="7">
        <f t="shared" si="197"/>
        <v>34</v>
      </c>
      <c r="AC158" s="7">
        <f t="shared" si="197"/>
        <v>32</v>
      </c>
      <c r="AD158" s="7">
        <f t="shared" si="197"/>
        <v>28</v>
      </c>
      <c r="AE158" s="7">
        <f t="shared" si="197"/>
        <v>76</v>
      </c>
      <c r="AF158" s="7">
        <f t="shared" si="197"/>
        <v>27</v>
      </c>
      <c r="AG158" s="7">
        <f t="shared" si="197"/>
        <v>34</v>
      </c>
      <c r="AH158" s="7">
        <f t="shared" si="197"/>
        <v>84</v>
      </c>
      <c r="AI158" s="7">
        <f t="shared" si="197"/>
        <v>88</v>
      </c>
      <c r="AJ158" s="7">
        <f t="shared" si="197"/>
        <v>40</v>
      </c>
      <c r="AK158" s="7">
        <f t="shared" si="197"/>
        <v>68</v>
      </c>
      <c r="AL158" s="7">
        <f t="shared" si="197"/>
        <v>44</v>
      </c>
      <c r="AM158" s="7">
        <f t="shared" si="197"/>
        <v>77</v>
      </c>
      <c r="AN158" s="7">
        <f t="shared" si="197"/>
        <v>83</v>
      </c>
      <c r="AO158" s="7">
        <f t="shared" si="197"/>
        <v>55</v>
      </c>
      <c r="AP158" s="7">
        <f t="shared" si="197"/>
        <v>89</v>
      </c>
      <c r="AQ158" s="7">
        <f t="shared" si="197"/>
        <v>76</v>
      </c>
      <c r="AR158" s="7">
        <f t="shared" si="197"/>
        <v>69</v>
      </c>
      <c r="AS158" s="7">
        <f t="shared" si="197"/>
        <v>109</v>
      </c>
      <c r="AT158" s="7">
        <f t="shared" si="197"/>
        <v>91</v>
      </c>
      <c r="AU158" s="7">
        <f t="shared" si="197"/>
        <v>106</v>
      </c>
      <c r="AV158" s="7">
        <f t="shared" si="197"/>
        <v>110</v>
      </c>
      <c r="AW158" s="7">
        <f t="shared" si="197"/>
        <v>108</v>
      </c>
      <c r="AX158" s="7">
        <f t="shared" si="197"/>
        <v>126</v>
      </c>
      <c r="AY158" s="7">
        <f t="shared" si="197"/>
        <v>141</v>
      </c>
      <c r="AZ158" s="7">
        <f t="shared" si="197"/>
        <v>177</v>
      </c>
      <c r="BA158" s="7">
        <f t="shared" si="197"/>
        <v>167</v>
      </c>
      <c r="BB158" s="7">
        <f t="shared" si="197"/>
        <v>199</v>
      </c>
      <c r="BC158" s="7">
        <f t="shared" si="197"/>
        <v>176</v>
      </c>
      <c r="BD158" s="7">
        <f t="shared" si="197"/>
        <v>254</v>
      </c>
      <c r="BE158" s="7">
        <f t="shared" si="197"/>
        <v>229</v>
      </c>
      <c r="BF158" s="7">
        <f t="shared" si="197"/>
        <v>263</v>
      </c>
      <c r="BG158" s="7">
        <f t="shared" si="197"/>
        <v>245</v>
      </c>
      <c r="BH158" s="7">
        <f t="shared" si="197"/>
        <v>306</v>
      </c>
      <c r="BI158" s="7">
        <f t="shared" si="197"/>
        <v>322</v>
      </c>
      <c r="BJ158" s="7">
        <f t="shared" si="197"/>
        <v>352</v>
      </c>
      <c r="BK158" s="7">
        <f t="shared" si="197"/>
        <v>383</v>
      </c>
      <c r="BL158" s="7">
        <f t="shared" si="197"/>
        <v>430</v>
      </c>
      <c r="BM158" s="7">
        <f t="shared" si="197"/>
        <v>511</v>
      </c>
      <c r="BN158" s="7">
        <f t="shared" si="197"/>
        <v>496</v>
      </c>
      <c r="BO158" s="7">
        <f t="shared" si="197"/>
        <v>503</v>
      </c>
      <c r="BP158" s="7">
        <f t="shared" si="197"/>
        <v>496</v>
      </c>
      <c r="BQ158" s="7">
        <f t="shared" ref="BQ158:CY158" si="198">BR35-BQ85</f>
        <v>504</v>
      </c>
      <c r="BR158" s="7">
        <f t="shared" si="198"/>
        <v>493</v>
      </c>
      <c r="BS158" s="7">
        <f t="shared" si="198"/>
        <v>498</v>
      </c>
      <c r="BT158" s="7">
        <f t="shared" si="198"/>
        <v>573</v>
      </c>
      <c r="BU158" s="7">
        <f t="shared" si="198"/>
        <v>581</v>
      </c>
      <c r="BV158" s="7">
        <f t="shared" si="198"/>
        <v>575</v>
      </c>
      <c r="BW158" s="7">
        <f t="shared" si="198"/>
        <v>632</v>
      </c>
      <c r="BX158" s="7">
        <f t="shared" si="198"/>
        <v>672</v>
      </c>
      <c r="BY158" s="7">
        <f t="shared" si="198"/>
        <v>721</v>
      </c>
      <c r="BZ158" s="7">
        <f t="shared" si="198"/>
        <v>789</v>
      </c>
      <c r="CA158" s="7">
        <f t="shared" si="198"/>
        <v>891</v>
      </c>
      <c r="CB158" s="7">
        <f t="shared" si="198"/>
        <v>996</v>
      </c>
      <c r="CC158" s="7">
        <f t="shared" si="198"/>
        <v>1088</v>
      </c>
      <c r="CD158" s="7">
        <f t="shared" si="198"/>
        <v>1205</v>
      </c>
      <c r="CE158" s="7">
        <f t="shared" si="198"/>
        <v>1295</v>
      </c>
      <c r="CF158" s="7">
        <f t="shared" si="198"/>
        <v>1352</v>
      </c>
      <c r="CG158" s="7">
        <f t="shared" si="198"/>
        <v>1528</v>
      </c>
      <c r="CH158" s="7">
        <f t="shared" si="198"/>
        <v>1593</v>
      </c>
      <c r="CI158" s="7">
        <f t="shared" si="198"/>
        <v>1699</v>
      </c>
      <c r="CJ158" s="7">
        <f t="shared" si="198"/>
        <v>1825</v>
      </c>
      <c r="CK158" s="7">
        <f t="shared" si="198"/>
        <v>1771</v>
      </c>
      <c r="CL158" s="7">
        <f t="shared" si="198"/>
        <v>1791</v>
      </c>
      <c r="CM158" s="7">
        <f t="shared" si="198"/>
        <v>1838</v>
      </c>
      <c r="CN158" s="7">
        <f t="shared" si="198"/>
        <v>1462</v>
      </c>
      <c r="CO158" s="7">
        <f t="shared" si="198"/>
        <v>1396</v>
      </c>
      <c r="CP158" s="7">
        <f t="shared" si="198"/>
        <v>1322</v>
      </c>
      <c r="CQ158" s="7">
        <f t="shared" si="198"/>
        <v>1023</v>
      </c>
      <c r="CR158" s="7">
        <f t="shared" si="198"/>
        <v>911</v>
      </c>
      <c r="CS158" s="7">
        <f t="shared" si="198"/>
        <v>713</v>
      </c>
      <c r="CT158" s="7">
        <f t="shared" si="198"/>
        <v>614</v>
      </c>
      <c r="CU158" s="7">
        <f t="shared" si="198"/>
        <v>481</v>
      </c>
      <c r="CV158" s="7">
        <f t="shared" si="198"/>
        <v>314</v>
      </c>
      <c r="CW158" s="7">
        <f t="shared" si="198"/>
        <v>233</v>
      </c>
      <c r="CX158" s="7">
        <f t="shared" si="198"/>
        <v>153</v>
      </c>
      <c r="CY158" s="7">
        <f t="shared" si="198"/>
        <v>97</v>
      </c>
      <c r="CZ158" s="8"/>
    </row>
    <row r="159" spans="1:104" x14ac:dyDescent="0.3">
      <c r="A159" s="10">
        <v>2010</v>
      </c>
      <c r="B159" s="8"/>
      <c r="C159" s="7">
        <f t="shared" si="186"/>
        <v>142</v>
      </c>
      <c r="D159" s="7">
        <f t="shared" si="186"/>
        <v>24</v>
      </c>
      <c r="E159" s="7">
        <f t="shared" ref="E159:BP159" si="199">F36-E86</f>
        <v>-8</v>
      </c>
      <c r="F159" s="7">
        <f t="shared" si="199"/>
        <v>21</v>
      </c>
      <c r="G159" s="7">
        <f t="shared" si="199"/>
        <v>13</v>
      </c>
      <c r="H159" s="7">
        <f t="shared" si="199"/>
        <v>-2</v>
      </c>
      <c r="I159" s="7">
        <f t="shared" si="199"/>
        <v>15</v>
      </c>
      <c r="J159" s="7">
        <f t="shared" si="199"/>
        <v>9</v>
      </c>
      <c r="K159" s="7">
        <f t="shared" si="199"/>
        <v>4</v>
      </c>
      <c r="L159" s="7">
        <f t="shared" si="199"/>
        <v>9</v>
      </c>
      <c r="M159" s="7">
        <f t="shared" si="199"/>
        <v>15</v>
      </c>
      <c r="N159" s="7">
        <f t="shared" si="199"/>
        <v>0</v>
      </c>
      <c r="O159" s="7">
        <f t="shared" si="199"/>
        <v>14</v>
      </c>
      <c r="P159" s="7">
        <f t="shared" si="199"/>
        <v>5</v>
      </c>
      <c r="Q159" s="7">
        <f t="shared" si="199"/>
        <v>3</v>
      </c>
      <c r="R159" s="7">
        <f t="shared" si="199"/>
        <v>23</v>
      </c>
      <c r="S159" s="7">
        <f t="shared" si="199"/>
        <v>-9</v>
      </c>
      <c r="T159" s="7">
        <f t="shared" si="199"/>
        <v>-8</v>
      </c>
      <c r="U159" s="7">
        <f t="shared" si="199"/>
        <v>2</v>
      </c>
      <c r="V159" s="7">
        <f t="shared" si="199"/>
        <v>10</v>
      </c>
      <c r="W159" s="7">
        <f t="shared" si="199"/>
        <v>-56</v>
      </c>
      <c r="X159" s="7">
        <f t="shared" si="199"/>
        <v>-2</v>
      </c>
      <c r="Y159" s="7">
        <f t="shared" si="199"/>
        <v>20</v>
      </c>
      <c r="Z159" s="7">
        <f t="shared" si="199"/>
        <v>21</v>
      </c>
      <c r="AA159" s="7">
        <f t="shared" si="199"/>
        <v>-38</v>
      </c>
      <c r="AB159" s="7">
        <f t="shared" si="199"/>
        <v>59</v>
      </c>
      <c r="AC159" s="7">
        <f t="shared" si="199"/>
        <v>22</v>
      </c>
      <c r="AD159" s="7">
        <f t="shared" si="199"/>
        <v>64</v>
      </c>
      <c r="AE159" s="7">
        <f t="shared" si="199"/>
        <v>49</v>
      </c>
      <c r="AF159" s="7">
        <f t="shared" si="199"/>
        <v>50</v>
      </c>
      <c r="AG159" s="7">
        <f t="shared" si="199"/>
        <v>46</v>
      </c>
      <c r="AH159" s="7">
        <f t="shared" si="199"/>
        <v>90</v>
      </c>
      <c r="AI159" s="7">
        <f t="shared" si="199"/>
        <v>75</v>
      </c>
      <c r="AJ159" s="7">
        <f t="shared" si="199"/>
        <v>23</v>
      </c>
      <c r="AK159" s="7">
        <f t="shared" si="199"/>
        <v>68</v>
      </c>
      <c r="AL159" s="7">
        <f t="shared" si="199"/>
        <v>72</v>
      </c>
      <c r="AM159" s="7">
        <f t="shared" si="199"/>
        <v>23</v>
      </c>
      <c r="AN159" s="7">
        <f t="shared" si="199"/>
        <v>79</v>
      </c>
      <c r="AO159" s="7">
        <f t="shared" si="199"/>
        <v>52</v>
      </c>
      <c r="AP159" s="7">
        <f t="shared" si="199"/>
        <v>74</v>
      </c>
      <c r="AQ159" s="7">
        <f t="shared" si="199"/>
        <v>84</v>
      </c>
      <c r="AR159" s="7">
        <f t="shared" si="199"/>
        <v>85</v>
      </c>
      <c r="AS159" s="7">
        <f t="shared" si="199"/>
        <v>93</v>
      </c>
      <c r="AT159" s="7">
        <f t="shared" si="199"/>
        <v>101</v>
      </c>
      <c r="AU159" s="7">
        <f t="shared" si="199"/>
        <v>93</v>
      </c>
      <c r="AV159" s="7">
        <f t="shared" si="199"/>
        <v>95</v>
      </c>
      <c r="AW159" s="7">
        <f t="shared" si="199"/>
        <v>132</v>
      </c>
      <c r="AX159" s="7">
        <f t="shared" si="199"/>
        <v>99</v>
      </c>
      <c r="AY159" s="7">
        <f t="shared" si="199"/>
        <v>163</v>
      </c>
      <c r="AZ159" s="7">
        <f t="shared" si="199"/>
        <v>168</v>
      </c>
      <c r="BA159" s="7">
        <f t="shared" si="199"/>
        <v>181</v>
      </c>
      <c r="BB159" s="7">
        <f t="shared" si="199"/>
        <v>198</v>
      </c>
      <c r="BC159" s="7">
        <f t="shared" si="199"/>
        <v>194</v>
      </c>
      <c r="BD159" s="7">
        <f t="shared" si="199"/>
        <v>224</v>
      </c>
      <c r="BE159" s="7">
        <f t="shared" si="199"/>
        <v>241</v>
      </c>
      <c r="BF159" s="7">
        <f t="shared" si="199"/>
        <v>264</v>
      </c>
      <c r="BG159" s="7">
        <f t="shared" si="199"/>
        <v>278</v>
      </c>
      <c r="BH159" s="7">
        <f t="shared" si="199"/>
        <v>268</v>
      </c>
      <c r="BI159" s="7">
        <f t="shared" si="199"/>
        <v>324</v>
      </c>
      <c r="BJ159" s="7">
        <f t="shared" si="199"/>
        <v>335</v>
      </c>
      <c r="BK159" s="7">
        <f t="shared" si="199"/>
        <v>372</v>
      </c>
      <c r="BL159" s="7">
        <f t="shared" si="199"/>
        <v>427</v>
      </c>
      <c r="BM159" s="7">
        <f t="shared" si="199"/>
        <v>499</v>
      </c>
      <c r="BN159" s="7">
        <f t="shared" si="199"/>
        <v>552</v>
      </c>
      <c r="BO159" s="7">
        <f t="shared" si="199"/>
        <v>559</v>
      </c>
      <c r="BP159" s="7">
        <f t="shared" si="199"/>
        <v>580</v>
      </c>
      <c r="BQ159" s="7">
        <f t="shared" ref="BQ159:CY159" si="200">BR36-BQ86</f>
        <v>549</v>
      </c>
      <c r="BR159" s="7">
        <f t="shared" si="200"/>
        <v>526</v>
      </c>
      <c r="BS159" s="7">
        <f t="shared" si="200"/>
        <v>547</v>
      </c>
      <c r="BT159" s="7">
        <f t="shared" si="200"/>
        <v>539</v>
      </c>
      <c r="BU159" s="7">
        <f t="shared" si="200"/>
        <v>615</v>
      </c>
      <c r="BV159" s="7">
        <f t="shared" si="200"/>
        <v>616</v>
      </c>
      <c r="BW159" s="7">
        <f t="shared" si="200"/>
        <v>654</v>
      </c>
      <c r="BX159" s="7">
        <f t="shared" si="200"/>
        <v>685</v>
      </c>
      <c r="BY159" s="7">
        <f t="shared" si="200"/>
        <v>699</v>
      </c>
      <c r="BZ159" s="7">
        <f t="shared" si="200"/>
        <v>803</v>
      </c>
      <c r="CA159" s="7">
        <f t="shared" si="200"/>
        <v>876</v>
      </c>
      <c r="CB159" s="7">
        <f t="shared" si="200"/>
        <v>959</v>
      </c>
      <c r="CC159" s="7">
        <f t="shared" si="200"/>
        <v>1088</v>
      </c>
      <c r="CD159" s="7">
        <f t="shared" si="200"/>
        <v>1145</v>
      </c>
      <c r="CE159" s="7">
        <f t="shared" si="200"/>
        <v>1283</v>
      </c>
      <c r="CF159" s="7">
        <f t="shared" si="200"/>
        <v>1324</v>
      </c>
      <c r="CG159" s="7">
        <f t="shared" si="200"/>
        <v>1421</v>
      </c>
      <c r="CH159" s="7">
        <f t="shared" si="200"/>
        <v>1593</v>
      </c>
      <c r="CI159" s="7">
        <f t="shared" si="200"/>
        <v>1552</v>
      </c>
      <c r="CJ159" s="7">
        <f t="shared" si="200"/>
        <v>1691</v>
      </c>
      <c r="CK159" s="7">
        <f t="shared" si="200"/>
        <v>1727</v>
      </c>
      <c r="CL159" s="7">
        <f t="shared" si="200"/>
        <v>1754</v>
      </c>
      <c r="CM159" s="7">
        <f t="shared" si="200"/>
        <v>1723</v>
      </c>
      <c r="CN159" s="7">
        <f t="shared" si="200"/>
        <v>1752</v>
      </c>
      <c r="CO159" s="7">
        <f t="shared" si="200"/>
        <v>1391</v>
      </c>
      <c r="CP159" s="7">
        <f t="shared" si="200"/>
        <v>1306</v>
      </c>
      <c r="CQ159" s="7">
        <f t="shared" si="200"/>
        <v>1161</v>
      </c>
      <c r="CR159" s="7">
        <f t="shared" si="200"/>
        <v>938</v>
      </c>
      <c r="CS159" s="7">
        <f t="shared" si="200"/>
        <v>760</v>
      </c>
      <c r="CT159" s="7">
        <f t="shared" si="200"/>
        <v>619</v>
      </c>
      <c r="CU159" s="7">
        <f t="shared" si="200"/>
        <v>458</v>
      </c>
      <c r="CV159" s="7">
        <f t="shared" si="200"/>
        <v>371</v>
      </c>
      <c r="CW159" s="7">
        <f t="shared" si="200"/>
        <v>227</v>
      </c>
      <c r="CX159" s="7">
        <f t="shared" si="200"/>
        <v>188</v>
      </c>
      <c r="CY159" s="7">
        <f t="shared" si="200"/>
        <v>101</v>
      </c>
      <c r="CZ159" s="8"/>
    </row>
    <row r="160" spans="1:104" x14ac:dyDescent="0.3">
      <c r="A160" s="10">
        <v>2011</v>
      </c>
      <c r="B160" s="8"/>
      <c r="C160" s="7">
        <f t="shared" si="186"/>
        <v>188</v>
      </c>
      <c r="D160" s="7">
        <f t="shared" si="186"/>
        <v>29</v>
      </c>
      <c r="E160" s="7">
        <f t="shared" ref="E160:BP160" si="201">F37-E87</f>
        <v>17</v>
      </c>
      <c r="F160" s="7">
        <f t="shared" si="201"/>
        <v>7</v>
      </c>
      <c r="G160" s="7">
        <f t="shared" si="201"/>
        <v>14</v>
      </c>
      <c r="H160" s="7">
        <f t="shared" si="201"/>
        <v>11</v>
      </c>
      <c r="I160" s="7">
        <f t="shared" si="201"/>
        <v>4</v>
      </c>
      <c r="J160" s="7">
        <f t="shared" si="201"/>
        <v>20</v>
      </c>
      <c r="K160" s="7">
        <f t="shared" si="201"/>
        <v>-4</v>
      </c>
      <c r="L160" s="7">
        <f t="shared" si="201"/>
        <v>7</v>
      </c>
      <c r="M160" s="7">
        <f t="shared" si="201"/>
        <v>3</v>
      </c>
      <c r="N160" s="7">
        <f t="shared" si="201"/>
        <v>5</v>
      </c>
      <c r="O160" s="7">
        <f t="shared" si="201"/>
        <v>18</v>
      </c>
      <c r="P160" s="7">
        <f t="shared" si="201"/>
        <v>-7</v>
      </c>
      <c r="Q160" s="7">
        <f t="shared" si="201"/>
        <v>27</v>
      </c>
      <c r="R160" s="7">
        <f t="shared" si="201"/>
        <v>16</v>
      </c>
      <c r="S160" s="7">
        <f t="shared" si="201"/>
        <v>10</v>
      </c>
      <c r="T160" s="7">
        <f t="shared" si="201"/>
        <v>-6</v>
      </c>
      <c r="U160" s="7">
        <f t="shared" si="201"/>
        <v>-19</v>
      </c>
      <c r="V160" s="7">
        <f t="shared" si="201"/>
        <v>24</v>
      </c>
      <c r="W160" s="7">
        <f t="shared" si="201"/>
        <v>8</v>
      </c>
      <c r="X160" s="7">
        <f t="shared" si="201"/>
        <v>2</v>
      </c>
      <c r="Y160" s="7">
        <f t="shared" si="201"/>
        <v>18</v>
      </c>
      <c r="Z160" s="7">
        <f t="shared" si="201"/>
        <v>22</v>
      </c>
      <c r="AA160" s="7">
        <f t="shared" si="201"/>
        <v>7</v>
      </c>
      <c r="AB160" s="7">
        <f t="shared" si="201"/>
        <v>17</v>
      </c>
      <c r="AC160" s="7">
        <f t="shared" si="201"/>
        <v>10</v>
      </c>
      <c r="AD160" s="7">
        <f t="shared" si="201"/>
        <v>-18</v>
      </c>
      <c r="AE160" s="7">
        <f t="shared" si="201"/>
        <v>85</v>
      </c>
      <c r="AF160" s="7">
        <f t="shared" si="201"/>
        <v>80</v>
      </c>
      <c r="AG160" s="7">
        <f t="shared" si="201"/>
        <v>64</v>
      </c>
      <c r="AH160" s="7">
        <f t="shared" si="201"/>
        <v>97</v>
      </c>
      <c r="AI160" s="7">
        <f t="shared" si="201"/>
        <v>73</v>
      </c>
      <c r="AJ160" s="7">
        <f t="shared" si="201"/>
        <v>21</v>
      </c>
      <c r="AK160" s="7">
        <f t="shared" si="201"/>
        <v>57</v>
      </c>
      <c r="AL160" s="7">
        <f t="shared" si="201"/>
        <v>80</v>
      </c>
      <c r="AM160" s="7">
        <f t="shared" si="201"/>
        <v>71</v>
      </c>
      <c r="AN160" s="7">
        <f t="shared" si="201"/>
        <v>51</v>
      </c>
      <c r="AO160" s="7">
        <f t="shared" si="201"/>
        <v>68</v>
      </c>
      <c r="AP160" s="7">
        <f t="shared" si="201"/>
        <v>79</v>
      </c>
      <c r="AQ160" s="7">
        <f t="shared" si="201"/>
        <v>89</v>
      </c>
      <c r="AR160" s="7">
        <f t="shared" si="201"/>
        <v>60</v>
      </c>
      <c r="AS160" s="7">
        <f t="shared" si="201"/>
        <v>93</v>
      </c>
      <c r="AT160" s="7">
        <f t="shared" si="201"/>
        <v>78</v>
      </c>
      <c r="AU160" s="7">
        <f t="shared" si="201"/>
        <v>117</v>
      </c>
      <c r="AV160" s="7">
        <f t="shared" si="201"/>
        <v>118</v>
      </c>
      <c r="AW160" s="7">
        <f t="shared" si="201"/>
        <v>126</v>
      </c>
      <c r="AX160" s="7">
        <f t="shared" si="201"/>
        <v>123</v>
      </c>
      <c r="AY160" s="7">
        <f t="shared" si="201"/>
        <v>154</v>
      </c>
      <c r="AZ160" s="7">
        <f t="shared" si="201"/>
        <v>154</v>
      </c>
      <c r="BA160" s="7">
        <f t="shared" si="201"/>
        <v>164</v>
      </c>
      <c r="BB160" s="7">
        <f t="shared" si="201"/>
        <v>158</v>
      </c>
      <c r="BC160" s="7">
        <f t="shared" si="201"/>
        <v>205</v>
      </c>
      <c r="BD160" s="7">
        <f t="shared" si="201"/>
        <v>214</v>
      </c>
      <c r="BE160" s="7">
        <f t="shared" si="201"/>
        <v>240</v>
      </c>
      <c r="BF160" s="7">
        <f t="shared" si="201"/>
        <v>265</v>
      </c>
      <c r="BG160" s="7">
        <f t="shared" si="201"/>
        <v>283</v>
      </c>
      <c r="BH160" s="7">
        <f t="shared" si="201"/>
        <v>274</v>
      </c>
      <c r="BI160" s="7">
        <f t="shared" si="201"/>
        <v>337</v>
      </c>
      <c r="BJ160" s="7">
        <f t="shared" si="201"/>
        <v>319</v>
      </c>
      <c r="BK160" s="7">
        <f t="shared" si="201"/>
        <v>377</v>
      </c>
      <c r="BL160" s="7">
        <f t="shared" si="201"/>
        <v>404</v>
      </c>
      <c r="BM160" s="7">
        <f t="shared" si="201"/>
        <v>469</v>
      </c>
      <c r="BN160" s="7">
        <f t="shared" si="201"/>
        <v>435</v>
      </c>
      <c r="BO160" s="7">
        <f t="shared" si="201"/>
        <v>601</v>
      </c>
      <c r="BP160" s="7">
        <f t="shared" si="201"/>
        <v>532</v>
      </c>
      <c r="BQ160" s="7">
        <f t="shared" ref="BQ160:CY160" si="202">BR37-BQ87</f>
        <v>613</v>
      </c>
      <c r="BR160" s="7">
        <f t="shared" si="202"/>
        <v>548</v>
      </c>
      <c r="BS160" s="7">
        <f t="shared" si="202"/>
        <v>559</v>
      </c>
      <c r="BT160" s="7">
        <f t="shared" si="202"/>
        <v>502</v>
      </c>
      <c r="BU160" s="7">
        <f t="shared" si="202"/>
        <v>582</v>
      </c>
      <c r="BV160" s="7">
        <f t="shared" si="202"/>
        <v>621</v>
      </c>
      <c r="BW160" s="7">
        <f t="shared" si="202"/>
        <v>660</v>
      </c>
      <c r="BX160" s="7">
        <f t="shared" si="202"/>
        <v>734</v>
      </c>
      <c r="BY160" s="7">
        <f t="shared" si="202"/>
        <v>720</v>
      </c>
      <c r="BZ160" s="7">
        <f t="shared" si="202"/>
        <v>753</v>
      </c>
      <c r="CA160" s="7">
        <f t="shared" si="202"/>
        <v>836</v>
      </c>
      <c r="CB160" s="7">
        <f t="shared" si="202"/>
        <v>912</v>
      </c>
      <c r="CC160" s="7">
        <f t="shared" si="202"/>
        <v>1052</v>
      </c>
      <c r="CD160" s="7">
        <f t="shared" si="202"/>
        <v>1136</v>
      </c>
      <c r="CE160" s="7">
        <f t="shared" si="202"/>
        <v>1296</v>
      </c>
      <c r="CF160" s="7">
        <f t="shared" si="202"/>
        <v>1249</v>
      </c>
      <c r="CG160" s="7">
        <f t="shared" si="202"/>
        <v>1384</v>
      </c>
      <c r="CH160" s="7">
        <f t="shared" si="202"/>
        <v>1485</v>
      </c>
      <c r="CI160" s="7">
        <f t="shared" si="202"/>
        <v>1595</v>
      </c>
      <c r="CJ160" s="7">
        <f t="shared" si="202"/>
        <v>1675</v>
      </c>
      <c r="CK160" s="7">
        <f t="shared" si="202"/>
        <v>1758</v>
      </c>
      <c r="CL160" s="7">
        <f t="shared" si="202"/>
        <v>1729</v>
      </c>
      <c r="CM160" s="7">
        <f t="shared" si="202"/>
        <v>1712</v>
      </c>
      <c r="CN160" s="7">
        <f t="shared" si="202"/>
        <v>1624</v>
      </c>
      <c r="CO160" s="7">
        <f t="shared" si="202"/>
        <v>1726</v>
      </c>
      <c r="CP160" s="7">
        <f t="shared" si="202"/>
        <v>1286</v>
      </c>
      <c r="CQ160" s="7">
        <f t="shared" si="202"/>
        <v>1173</v>
      </c>
      <c r="CR160" s="7">
        <f t="shared" si="202"/>
        <v>1000</v>
      </c>
      <c r="CS160" s="7">
        <f t="shared" si="202"/>
        <v>777</v>
      </c>
      <c r="CT160" s="7">
        <f t="shared" si="202"/>
        <v>653</v>
      </c>
      <c r="CU160" s="7">
        <f t="shared" si="202"/>
        <v>480</v>
      </c>
      <c r="CV160" s="7">
        <f t="shared" si="202"/>
        <v>336</v>
      </c>
      <c r="CW160" s="7">
        <f t="shared" si="202"/>
        <v>238</v>
      </c>
      <c r="CX160" s="7">
        <f t="shared" si="202"/>
        <v>172</v>
      </c>
      <c r="CY160" s="7">
        <f t="shared" si="202"/>
        <v>107</v>
      </c>
      <c r="CZ160" s="8"/>
    </row>
    <row r="161" spans="1:104" x14ac:dyDescent="0.3">
      <c r="A161" s="10">
        <v>2012</v>
      </c>
      <c r="B161" s="8"/>
      <c r="C161" s="7">
        <f t="shared" si="186"/>
        <v>201</v>
      </c>
      <c r="D161" s="7">
        <f t="shared" si="186"/>
        <v>11</v>
      </c>
      <c r="E161" s="7">
        <f t="shared" ref="E161:BP161" si="203">F38-E88</f>
        <v>11</v>
      </c>
      <c r="F161" s="7">
        <f t="shared" si="203"/>
        <v>0</v>
      </c>
      <c r="G161" s="7">
        <f t="shared" si="203"/>
        <v>9</v>
      </c>
      <c r="H161" s="7">
        <f t="shared" si="203"/>
        <v>10</v>
      </c>
      <c r="I161" s="7">
        <f t="shared" si="203"/>
        <v>10</v>
      </c>
      <c r="J161" s="7">
        <f t="shared" si="203"/>
        <v>-2</v>
      </c>
      <c r="K161" s="7">
        <f t="shared" si="203"/>
        <v>7</v>
      </c>
      <c r="L161" s="7">
        <f t="shared" si="203"/>
        <v>-3</v>
      </c>
      <c r="M161" s="7">
        <f t="shared" si="203"/>
        <v>23</v>
      </c>
      <c r="N161" s="7">
        <f t="shared" si="203"/>
        <v>1</v>
      </c>
      <c r="O161" s="7">
        <f t="shared" si="203"/>
        <v>1</v>
      </c>
      <c r="P161" s="7">
        <f t="shared" si="203"/>
        <v>17</v>
      </c>
      <c r="Q161" s="7">
        <f t="shared" si="203"/>
        <v>7</v>
      </c>
      <c r="R161" s="7">
        <f t="shared" si="203"/>
        <v>5</v>
      </c>
      <c r="S161" s="7">
        <f t="shared" si="203"/>
        <v>22</v>
      </c>
      <c r="T161" s="7">
        <f t="shared" si="203"/>
        <v>-7</v>
      </c>
      <c r="U161" s="7">
        <f t="shared" si="203"/>
        <v>20</v>
      </c>
      <c r="V161" s="7">
        <f t="shared" si="203"/>
        <v>13</v>
      </c>
      <c r="W161" s="7">
        <f t="shared" si="203"/>
        <v>13</v>
      </c>
      <c r="X161" s="7">
        <f t="shared" si="203"/>
        <v>15</v>
      </c>
      <c r="Y161" s="7">
        <f t="shared" si="203"/>
        <v>28</v>
      </c>
      <c r="Z161" s="7">
        <f t="shared" si="203"/>
        <v>-4</v>
      </c>
      <c r="AA161" s="7">
        <f t="shared" si="203"/>
        <v>15</v>
      </c>
      <c r="AB161" s="7">
        <f t="shared" si="203"/>
        <v>8</v>
      </c>
      <c r="AC161" s="7">
        <f t="shared" si="203"/>
        <v>25</v>
      </c>
      <c r="AD161" s="7">
        <f t="shared" si="203"/>
        <v>33</v>
      </c>
      <c r="AE161" s="7">
        <f t="shared" si="203"/>
        <v>20</v>
      </c>
      <c r="AF161" s="7">
        <f t="shared" si="203"/>
        <v>30</v>
      </c>
      <c r="AG161" s="7">
        <f t="shared" si="203"/>
        <v>32</v>
      </c>
      <c r="AH161" s="7">
        <f t="shared" si="203"/>
        <v>47</v>
      </c>
      <c r="AI161" s="7">
        <f t="shared" si="203"/>
        <v>54</v>
      </c>
      <c r="AJ161" s="7">
        <f t="shared" si="203"/>
        <v>31</v>
      </c>
      <c r="AK161" s="7">
        <f t="shared" si="203"/>
        <v>53</v>
      </c>
      <c r="AL161" s="7">
        <f t="shared" si="203"/>
        <v>39</v>
      </c>
      <c r="AM161" s="7">
        <f t="shared" si="203"/>
        <v>50</v>
      </c>
      <c r="AN161" s="7">
        <f t="shared" si="203"/>
        <v>64</v>
      </c>
      <c r="AO161" s="7">
        <f t="shared" si="203"/>
        <v>78</v>
      </c>
      <c r="AP161" s="7">
        <f t="shared" si="203"/>
        <v>51</v>
      </c>
      <c r="AQ161" s="7">
        <f t="shared" si="203"/>
        <v>83</v>
      </c>
      <c r="AR161" s="7">
        <f t="shared" si="203"/>
        <v>73</v>
      </c>
      <c r="AS161" s="7">
        <f t="shared" si="203"/>
        <v>87</v>
      </c>
      <c r="AT161" s="7">
        <f t="shared" si="203"/>
        <v>99</v>
      </c>
      <c r="AU161" s="7">
        <f t="shared" si="203"/>
        <v>93</v>
      </c>
      <c r="AV161" s="7">
        <f t="shared" si="203"/>
        <v>100</v>
      </c>
      <c r="AW161" s="7">
        <f t="shared" si="203"/>
        <v>130</v>
      </c>
      <c r="AX161" s="7">
        <f t="shared" si="203"/>
        <v>112</v>
      </c>
      <c r="AY161" s="7">
        <f t="shared" si="203"/>
        <v>126</v>
      </c>
      <c r="AZ161" s="7">
        <f t="shared" si="203"/>
        <v>140</v>
      </c>
      <c r="BA161" s="7">
        <f t="shared" si="203"/>
        <v>158</v>
      </c>
      <c r="BB161" s="7">
        <f t="shared" si="203"/>
        <v>177</v>
      </c>
      <c r="BC161" s="7">
        <f t="shared" si="203"/>
        <v>200</v>
      </c>
      <c r="BD161" s="7">
        <f t="shared" si="203"/>
        <v>200</v>
      </c>
      <c r="BE161" s="7">
        <f t="shared" si="203"/>
        <v>235</v>
      </c>
      <c r="BF161" s="7">
        <f t="shared" si="203"/>
        <v>240</v>
      </c>
      <c r="BG161" s="7">
        <f t="shared" si="203"/>
        <v>268</v>
      </c>
      <c r="BH161" s="7">
        <f t="shared" si="203"/>
        <v>259</v>
      </c>
      <c r="BI161" s="7">
        <f t="shared" si="203"/>
        <v>314</v>
      </c>
      <c r="BJ161" s="7">
        <f t="shared" si="203"/>
        <v>352</v>
      </c>
      <c r="BK161" s="7">
        <f t="shared" si="203"/>
        <v>372</v>
      </c>
      <c r="BL161" s="7">
        <f t="shared" si="203"/>
        <v>423</v>
      </c>
      <c r="BM161" s="7">
        <f t="shared" si="203"/>
        <v>405</v>
      </c>
      <c r="BN161" s="7">
        <f t="shared" si="203"/>
        <v>480</v>
      </c>
      <c r="BO161" s="7">
        <f t="shared" si="203"/>
        <v>517</v>
      </c>
      <c r="BP161" s="7">
        <f t="shared" si="203"/>
        <v>588</v>
      </c>
      <c r="BQ161" s="7">
        <f t="shared" ref="BQ161:CY161" si="204">BR38-BQ88</f>
        <v>663</v>
      </c>
      <c r="BR161" s="7">
        <f t="shared" si="204"/>
        <v>620</v>
      </c>
      <c r="BS161" s="7">
        <f t="shared" si="204"/>
        <v>627</v>
      </c>
      <c r="BT161" s="7">
        <f t="shared" si="204"/>
        <v>562</v>
      </c>
      <c r="BU161" s="7">
        <f t="shared" si="204"/>
        <v>562</v>
      </c>
      <c r="BV161" s="7">
        <f t="shared" si="204"/>
        <v>721</v>
      </c>
      <c r="BW161" s="7">
        <f t="shared" si="204"/>
        <v>677</v>
      </c>
      <c r="BX161" s="7">
        <f t="shared" si="204"/>
        <v>716</v>
      </c>
      <c r="BY161" s="7">
        <f t="shared" si="204"/>
        <v>723</v>
      </c>
      <c r="BZ161" s="7">
        <f t="shared" si="204"/>
        <v>778</v>
      </c>
      <c r="CA161" s="7">
        <f t="shared" si="204"/>
        <v>772</v>
      </c>
      <c r="CB161" s="7">
        <f t="shared" si="204"/>
        <v>888</v>
      </c>
      <c r="CC161" s="7">
        <f t="shared" si="204"/>
        <v>1033</v>
      </c>
      <c r="CD161" s="7">
        <f t="shared" si="204"/>
        <v>1113</v>
      </c>
      <c r="CE161" s="7">
        <f t="shared" si="204"/>
        <v>1176</v>
      </c>
      <c r="CF161" s="7">
        <f t="shared" si="204"/>
        <v>1354</v>
      </c>
      <c r="CG161" s="7">
        <f t="shared" si="204"/>
        <v>1480</v>
      </c>
      <c r="CH161" s="7">
        <f t="shared" si="204"/>
        <v>1536</v>
      </c>
      <c r="CI161" s="7">
        <f t="shared" si="204"/>
        <v>1517</v>
      </c>
      <c r="CJ161" s="7">
        <f t="shared" si="204"/>
        <v>1623</v>
      </c>
      <c r="CK161" s="7">
        <f t="shared" si="204"/>
        <v>1663</v>
      </c>
      <c r="CL161" s="7">
        <f t="shared" si="204"/>
        <v>1739</v>
      </c>
      <c r="CM161" s="7">
        <f t="shared" si="204"/>
        <v>1671</v>
      </c>
      <c r="CN161" s="7">
        <f t="shared" si="204"/>
        <v>1804</v>
      </c>
      <c r="CO161" s="7">
        <f t="shared" si="204"/>
        <v>1572</v>
      </c>
      <c r="CP161" s="7">
        <f t="shared" si="204"/>
        <v>1594</v>
      </c>
      <c r="CQ161" s="7">
        <f t="shared" si="204"/>
        <v>1178</v>
      </c>
      <c r="CR161" s="7">
        <f t="shared" si="204"/>
        <v>1097</v>
      </c>
      <c r="CS161" s="7">
        <f t="shared" si="204"/>
        <v>860</v>
      </c>
      <c r="CT161" s="7">
        <f t="shared" si="204"/>
        <v>688</v>
      </c>
      <c r="CU161" s="7">
        <f t="shared" si="204"/>
        <v>526</v>
      </c>
      <c r="CV161" s="7">
        <f t="shared" si="204"/>
        <v>395</v>
      </c>
      <c r="CW161" s="7">
        <f t="shared" si="204"/>
        <v>289</v>
      </c>
      <c r="CX161" s="7">
        <f t="shared" si="204"/>
        <v>192</v>
      </c>
      <c r="CY161" s="7">
        <f t="shared" si="204"/>
        <v>131</v>
      </c>
      <c r="CZ161" s="8"/>
    </row>
    <row r="162" spans="1:104" x14ac:dyDescent="0.3">
      <c r="A162" s="10">
        <v>2013</v>
      </c>
      <c r="B162" s="8"/>
      <c r="C162" s="7">
        <f t="shared" si="186"/>
        <v>123</v>
      </c>
      <c r="D162" s="7">
        <f t="shared" si="186"/>
        <v>6</v>
      </c>
      <c r="E162" s="7">
        <f t="shared" ref="E162:BP162" si="205">F39-E89</f>
        <v>5</v>
      </c>
      <c r="F162" s="7">
        <f t="shared" si="205"/>
        <v>7</v>
      </c>
      <c r="G162" s="7">
        <f t="shared" si="205"/>
        <v>-3</v>
      </c>
      <c r="H162" s="7">
        <f t="shared" si="205"/>
        <v>13</v>
      </c>
      <c r="I162" s="7">
        <f t="shared" si="205"/>
        <v>4</v>
      </c>
      <c r="J162" s="7">
        <f t="shared" si="205"/>
        <v>9</v>
      </c>
      <c r="K162" s="7">
        <f t="shared" si="205"/>
        <v>2</v>
      </c>
      <c r="L162" s="7">
        <f t="shared" si="205"/>
        <v>12</v>
      </c>
      <c r="M162" s="7">
        <f t="shared" si="205"/>
        <v>-2</v>
      </c>
      <c r="N162" s="7">
        <f t="shared" si="205"/>
        <v>6</v>
      </c>
      <c r="O162" s="7">
        <f t="shared" si="205"/>
        <v>-6</v>
      </c>
      <c r="P162" s="7">
        <f t="shared" si="205"/>
        <v>3</v>
      </c>
      <c r="Q162" s="7">
        <f t="shared" si="205"/>
        <v>0</v>
      </c>
      <c r="R162" s="7">
        <f t="shared" si="205"/>
        <v>8</v>
      </c>
      <c r="S162" s="7">
        <f t="shared" si="205"/>
        <v>-7</v>
      </c>
      <c r="T162" s="7">
        <f t="shared" si="205"/>
        <v>9</v>
      </c>
      <c r="U162" s="7">
        <f t="shared" si="205"/>
        <v>23</v>
      </c>
      <c r="V162" s="7">
        <f t="shared" si="205"/>
        <v>30</v>
      </c>
      <c r="W162" s="7">
        <f t="shared" si="205"/>
        <v>-9</v>
      </c>
      <c r="X162" s="7">
        <f t="shared" si="205"/>
        <v>16</v>
      </c>
      <c r="Y162" s="7">
        <f t="shared" si="205"/>
        <v>16</v>
      </c>
      <c r="Z162" s="7">
        <f t="shared" si="205"/>
        <v>4</v>
      </c>
      <c r="AA162" s="7">
        <f t="shared" si="205"/>
        <v>35</v>
      </c>
      <c r="AB162" s="7">
        <f t="shared" si="205"/>
        <v>14</v>
      </c>
      <c r="AC162" s="7">
        <f t="shared" si="205"/>
        <v>30</v>
      </c>
      <c r="AD162" s="7">
        <f t="shared" si="205"/>
        <v>14</v>
      </c>
      <c r="AE162" s="7">
        <f t="shared" si="205"/>
        <v>18</v>
      </c>
      <c r="AF162" s="7">
        <f t="shared" si="205"/>
        <v>26</v>
      </c>
      <c r="AG162" s="7">
        <f t="shared" si="205"/>
        <v>61</v>
      </c>
      <c r="AH162" s="7">
        <f t="shared" si="205"/>
        <v>48</v>
      </c>
      <c r="AI162" s="7">
        <f t="shared" si="205"/>
        <v>78</v>
      </c>
      <c r="AJ162" s="7">
        <f t="shared" si="205"/>
        <v>45</v>
      </c>
      <c r="AK162" s="7">
        <f t="shared" si="205"/>
        <v>64</v>
      </c>
      <c r="AL162" s="7">
        <f t="shared" si="205"/>
        <v>59</v>
      </c>
      <c r="AM162" s="7">
        <f t="shared" si="205"/>
        <v>57</v>
      </c>
      <c r="AN162" s="7">
        <f t="shared" si="205"/>
        <v>38</v>
      </c>
      <c r="AO162" s="7">
        <f t="shared" si="205"/>
        <v>71</v>
      </c>
      <c r="AP162" s="7">
        <f t="shared" si="205"/>
        <v>66</v>
      </c>
      <c r="AQ162" s="7">
        <f t="shared" si="205"/>
        <v>70</v>
      </c>
      <c r="AR162" s="7">
        <f t="shared" si="205"/>
        <v>74</v>
      </c>
      <c r="AS162" s="7">
        <f t="shared" si="205"/>
        <v>93</v>
      </c>
      <c r="AT162" s="7">
        <f t="shared" si="205"/>
        <v>76</v>
      </c>
      <c r="AU162" s="7">
        <f t="shared" si="205"/>
        <v>103</v>
      </c>
      <c r="AV162" s="7">
        <f t="shared" si="205"/>
        <v>98</v>
      </c>
      <c r="AW162" s="7">
        <f t="shared" si="205"/>
        <v>103</v>
      </c>
      <c r="AX162" s="7">
        <f t="shared" si="205"/>
        <v>127</v>
      </c>
      <c r="AY162" s="7">
        <f t="shared" si="205"/>
        <v>146</v>
      </c>
      <c r="AZ162" s="7">
        <f t="shared" si="205"/>
        <v>133</v>
      </c>
      <c r="BA162" s="7">
        <f t="shared" si="205"/>
        <v>148</v>
      </c>
      <c r="BB162" s="7">
        <f t="shared" si="205"/>
        <v>184</v>
      </c>
      <c r="BC162" s="7">
        <f t="shared" si="205"/>
        <v>165</v>
      </c>
      <c r="BD162" s="7">
        <f t="shared" si="205"/>
        <v>208</v>
      </c>
      <c r="BE162" s="7">
        <f t="shared" si="205"/>
        <v>236</v>
      </c>
      <c r="BF162" s="7">
        <f t="shared" si="205"/>
        <v>257</v>
      </c>
      <c r="BG162" s="7">
        <f t="shared" si="205"/>
        <v>245</v>
      </c>
      <c r="BH162" s="7">
        <f t="shared" si="205"/>
        <v>311</v>
      </c>
      <c r="BI162" s="7">
        <f t="shared" si="205"/>
        <v>331</v>
      </c>
      <c r="BJ162" s="7">
        <f t="shared" si="205"/>
        <v>351</v>
      </c>
      <c r="BK162" s="7">
        <f t="shared" si="205"/>
        <v>354</v>
      </c>
      <c r="BL162" s="7">
        <f t="shared" si="205"/>
        <v>371</v>
      </c>
      <c r="BM162" s="7">
        <f t="shared" si="205"/>
        <v>458</v>
      </c>
      <c r="BN162" s="7">
        <f t="shared" si="205"/>
        <v>442</v>
      </c>
      <c r="BO162" s="7">
        <f t="shared" si="205"/>
        <v>514</v>
      </c>
      <c r="BP162" s="7">
        <f t="shared" si="205"/>
        <v>558</v>
      </c>
      <c r="BQ162" s="7">
        <f t="shared" ref="BQ162:CY162" si="206">BR39-BQ89</f>
        <v>690</v>
      </c>
      <c r="BR162" s="7">
        <f t="shared" si="206"/>
        <v>648</v>
      </c>
      <c r="BS162" s="7">
        <f t="shared" si="206"/>
        <v>682</v>
      </c>
      <c r="BT162" s="7">
        <f t="shared" si="206"/>
        <v>634</v>
      </c>
      <c r="BU162" s="7">
        <f t="shared" si="206"/>
        <v>600</v>
      </c>
      <c r="BV162" s="7">
        <f t="shared" si="206"/>
        <v>612</v>
      </c>
      <c r="BW162" s="7">
        <f t="shared" si="206"/>
        <v>668</v>
      </c>
      <c r="BX162" s="7">
        <f t="shared" si="206"/>
        <v>754</v>
      </c>
      <c r="BY162" s="7">
        <f t="shared" si="206"/>
        <v>767</v>
      </c>
      <c r="BZ162" s="7">
        <f t="shared" si="206"/>
        <v>775</v>
      </c>
      <c r="CA162" s="7">
        <f t="shared" si="206"/>
        <v>878</v>
      </c>
      <c r="CB162" s="7">
        <f t="shared" si="206"/>
        <v>877</v>
      </c>
      <c r="CC162" s="7">
        <f t="shared" si="206"/>
        <v>967</v>
      </c>
      <c r="CD162" s="7">
        <f t="shared" si="206"/>
        <v>1030</v>
      </c>
      <c r="CE162" s="7">
        <f t="shared" si="206"/>
        <v>1212</v>
      </c>
      <c r="CF162" s="7">
        <f t="shared" si="206"/>
        <v>1297</v>
      </c>
      <c r="CG162" s="7">
        <f t="shared" si="206"/>
        <v>1323</v>
      </c>
      <c r="CH162" s="7">
        <f t="shared" si="206"/>
        <v>1399</v>
      </c>
      <c r="CI162" s="7">
        <f t="shared" si="206"/>
        <v>1564</v>
      </c>
      <c r="CJ162" s="7">
        <f t="shared" si="206"/>
        <v>1557</v>
      </c>
      <c r="CK162" s="7">
        <f t="shared" si="206"/>
        <v>1659</v>
      </c>
      <c r="CL162" s="7">
        <f t="shared" si="206"/>
        <v>1615</v>
      </c>
      <c r="CM162" s="7">
        <f t="shared" si="206"/>
        <v>1629</v>
      </c>
      <c r="CN162" s="7">
        <f t="shared" si="206"/>
        <v>1682</v>
      </c>
      <c r="CO162" s="7">
        <f t="shared" si="206"/>
        <v>1519</v>
      </c>
      <c r="CP162" s="7">
        <f t="shared" si="206"/>
        <v>1406</v>
      </c>
      <c r="CQ162" s="7">
        <f t="shared" si="206"/>
        <v>1341</v>
      </c>
      <c r="CR162" s="7">
        <f t="shared" si="206"/>
        <v>971</v>
      </c>
      <c r="CS162" s="7">
        <f t="shared" si="206"/>
        <v>901</v>
      </c>
      <c r="CT162" s="7">
        <f t="shared" si="206"/>
        <v>712</v>
      </c>
      <c r="CU162" s="7">
        <f t="shared" si="206"/>
        <v>508</v>
      </c>
      <c r="CV162" s="7">
        <f t="shared" si="206"/>
        <v>394</v>
      </c>
      <c r="CW162" s="7">
        <f t="shared" si="206"/>
        <v>247</v>
      </c>
      <c r="CX162" s="7">
        <f t="shared" si="206"/>
        <v>187</v>
      </c>
      <c r="CY162" s="7">
        <f t="shared" si="206"/>
        <v>132</v>
      </c>
      <c r="CZ162" s="8"/>
    </row>
    <row r="163" spans="1:104" x14ac:dyDescent="0.3">
      <c r="A163" s="10">
        <v>2014</v>
      </c>
      <c r="B163" s="8"/>
      <c r="C163" s="7">
        <f t="shared" si="186"/>
        <v>143</v>
      </c>
      <c r="D163" s="7">
        <f t="shared" si="186"/>
        <v>20</v>
      </c>
      <c r="E163" s="7">
        <f t="shared" ref="E163:BP163" si="207">F40-E90</f>
        <v>5</v>
      </c>
      <c r="F163" s="7">
        <f t="shared" si="207"/>
        <v>5</v>
      </c>
      <c r="G163" s="7">
        <f t="shared" si="207"/>
        <v>11</v>
      </c>
      <c r="H163" s="7">
        <f t="shared" si="207"/>
        <v>3</v>
      </c>
      <c r="I163" s="7">
        <f t="shared" si="207"/>
        <v>5</v>
      </c>
      <c r="J163" s="7">
        <f t="shared" si="207"/>
        <v>8</v>
      </c>
      <c r="K163" s="7">
        <f t="shared" si="207"/>
        <v>-6</v>
      </c>
      <c r="L163" s="7">
        <f t="shared" si="207"/>
        <v>1</v>
      </c>
      <c r="M163" s="7">
        <f t="shared" si="207"/>
        <v>5</v>
      </c>
      <c r="N163" s="7">
        <f t="shared" si="207"/>
        <v>7</v>
      </c>
      <c r="O163" s="7">
        <f t="shared" si="207"/>
        <v>-1</v>
      </c>
      <c r="P163" s="7">
        <f t="shared" si="207"/>
        <v>10</v>
      </c>
      <c r="Q163" s="7">
        <f t="shared" si="207"/>
        <v>12</v>
      </c>
      <c r="R163" s="7">
        <f t="shared" si="207"/>
        <v>11</v>
      </c>
      <c r="S163" s="7">
        <f t="shared" si="207"/>
        <v>8</v>
      </c>
      <c r="T163" s="7">
        <f t="shared" si="207"/>
        <v>3</v>
      </c>
      <c r="U163" s="7">
        <f t="shared" si="207"/>
        <v>2</v>
      </c>
      <c r="V163" s="7">
        <f t="shared" si="207"/>
        <v>22</v>
      </c>
      <c r="W163" s="7">
        <f t="shared" si="207"/>
        <v>8</v>
      </c>
      <c r="X163" s="7">
        <f t="shared" si="207"/>
        <v>31</v>
      </c>
      <c r="Y163" s="7">
        <f t="shared" si="207"/>
        <v>-5</v>
      </c>
      <c r="Z163" s="7">
        <f t="shared" si="207"/>
        <v>26</v>
      </c>
      <c r="AA163" s="7">
        <f t="shared" si="207"/>
        <v>27</v>
      </c>
      <c r="AB163" s="7">
        <f t="shared" si="207"/>
        <v>11</v>
      </c>
      <c r="AC163" s="7">
        <f t="shared" si="207"/>
        <v>9</v>
      </c>
      <c r="AD163" s="7">
        <f t="shared" si="207"/>
        <v>57</v>
      </c>
      <c r="AE163" s="7">
        <f t="shared" si="207"/>
        <v>8</v>
      </c>
      <c r="AF163" s="7">
        <f t="shared" si="207"/>
        <v>31</v>
      </c>
      <c r="AG163" s="7">
        <f t="shared" si="207"/>
        <v>38</v>
      </c>
      <c r="AH163" s="7">
        <f t="shared" si="207"/>
        <v>67</v>
      </c>
      <c r="AI163" s="7">
        <f t="shared" si="207"/>
        <v>60</v>
      </c>
      <c r="AJ163" s="7">
        <f t="shared" si="207"/>
        <v>22</v>
      </c>
      <c r="AK163" s="7">
        <f t="shared" si="207"/>
        <v>65</v>
      </c>
      <c r="AL163" s="7">
        <f t="shared" si="207"/>
        <v>45</v>
      </c>
      <c r="AM163" s="7">
        <f t="shared" si="207"/>
        <v>36</v>
      </c>
      <c r="AN163" s="7">
        <f t="shared" si="207"/>
        <v>53</v>
      </c>
      <c r="AO163" s="7">
        <f t="shared" si="207"/>
        <v>69</v>
      </c>
      <c r="AP163" s="7">
        <f t="shared" si="207"/>
        <v>68</v>
      </c>
      <c r="AQ163" s="7">
        <f t="shared" si="207"/>
        <v>47</v>
      </c>
      <c r="AR163" s="7">
        <f t="shared" si="207"/>
        <v>57</v>
      </c>
      <c r="AS163" s="7">
        <f t="shared" si="207"/>
        <v>76</v>
      </c>
      <c r="AT163" s="7">
        <f t="shared" si="207"/>
        <v>76</v>
      </c>
      <c r="AU163" s="7">
        <f t="shared" si="207"/>
        <v>94</v>
      </c>
      <c r="AV163" s="7">
        <f t="shared" si="207"/>
        <v>101</v>
      </c>
      <c r="AW163" s="7">
        <f t="shared" si="207"/>
        <v>96</v>
      </c>
      <c r="AX163" s="7">
        <f t="shared" si="207"/>
        <v>113</v>
      </c>
      <c r="AY163" s="7">
        <f t="shared" si="207"/>
        <v>128</v>
      </c>
      <c r="AZ163" s="7">
        <f t="shared" si="207"/>
        <v>157</v>
      </c>
      <c r="BA163" s="7">
        <f t="shared" si="207"/>
        <v>147</v>
      </c>
      <c r="BB163" s="7">
        <f t="shared" si="207"/>
        <v>167</v>
      </c>
      <c r="BC163" s="7">
        <f t="shared" si="207"/>
        <v>198</v>
      </c>
      <c r="BD163" s="7">
        <f t="shared" si="207"/>
        <v>202</v>
      </c>
      <c r="BE163" s="7">
        <f t="shared" si="207"/>
        <v>240</v>
      </c>
      <c r="BF163" s="7">
        <f t="shared" si="207"/>
        <v>230</v>
      </c>
      <c r="BG163" s="7">
        <f t="shared" si="207"/>
        <v>285</v>
      </c>
      <c r="BH163" s="7">
        <f t="shared" si="207"/>
        <v>255</v>
      </c>
      <c r="BI163" s="7">
        <f t="shared" si="207"/>
        <v>267</v>
      </c>
      <c r="BJ163" s="7">
        <f t="shared" si="207"/>
        <v>308</v>
      </c>
      <c r="BK163" s="7">
        <f t="shared" si="207"/>
        <v>363</v>
      </c>
      <c r="BL163" s="7">
        <f t="shared" si="207"/>
        <v>349</v>
      </c>
      <c r="BM163" s="7">
        <f t="shared" si="207"/>
        <v>403</v>
      </c>
      <c r="BN163" s="7">
        <f t="shared" si="207"/>
        <v>423</v>
      </c>
      <c r="BO163" s="7">
        <f t="shared" si="207"/>
        <v>457</v>
      </c>
      <c r="BP163" s="7">
        <f t="shared" si="207"/>
        <v>578</v>
      </c>
      <c r="BQ163" s="7">
        <f t="shared" ref="BQ163:CY163" si="208">BR40-BQ90</f>
        <v>580</v>
      </c>
      <c r="BR163" s="7">
        <f t="shared" si="208"/>
        <v>687</v>
      </c>
      <c r="BS163" s="7">
        <f t="shared" si="208"/>
        <v>668</v>
      </c>
      <c r="BT163" s="7">
        <f t="shared" si="208"/>
        <v>679</v>
      </c>
      <c r="BU163" s="7">
        <f t="shared" si="208"/>
        <v>658</v>
      </c>
      <c r="BV163" s="7">
        <f t="shared" si="208"/>
        <v>655</v>
      </c>
      <c r="BW163" s="7">
        <f t="shared" si="208"/>
        <v>633</v>
      </c>
      <c r="BX163" s="7">
        <f t="shared" si="208"/>
        <v>733</v>
      </c>
      <c r="BY163" s="7">
        <f t="shared" si="208"/>
        <v>739</v>
      </c>
      <c r="BZ163" s="7">
        <f t="shared" si="208"/>
        <v>835</v>
      </c>
      <c r="CA163" s="7">
        <f t="shared" si="208"/>
        <v>838</v>
      </c>
      <c r="CB163" s="7">
        <f t="shared" si="208"/>
        <v>882</v>
      </c>
      <c r="CC163" s="7">
        <f t="shared" si="208"/>
        <v>878</v>
      </c>
      <c r="CD163" s="7">
        <f t="shared" si="208"/>
        <v>982</v>
      </c>
      <c r="CE163" s="7">
        <f t="shared" si="208"/>
        <v>1106</v>
      </c>
      <c r="CF163" s="7">
        <f t="shared" si="208"/>
        <v>1217</v>
      </c>
      <c r="CG163" s="7">
        <f t="shared" si="208"/>
        <v>1317</v>
      </c>
      <c r="CH163" s="7">
        <f t="shared" si="208"/>
        <v>1381</v>
      </c>
      <c r="CI163" s="7">
        <f t="shared" si="208"/>
        <v>1475</v>
      </c>
      <c r="CJ163" s="7">
        <f t="shared" si="208"/>
        <v>1507</v>
      </c>
      <c r="CK163" s="7">
        <f t="shared" si="208"/>
        <v>1458</v>
      </c>
      <c r="CL163" s="7">
        <f t="shared" si="208"/>
        <v>1624</v>
      </c>
      <c r="CM163" s="7">
        <f t="shared" si="208"/>
        <v>1539</v>
      </c>
      <c r="CN163" s="7">
        <f t="shared" si="208"/>
        <v>1584</v>
      </c>
      <c r="CO163" s="7">
        <f t="shared" si="208"/>
        <v>1638</v>
      </c>
      <c r="CP163" s="7">
        <f t="shared" si="208"/>
        <v>1426</v>
      </c>
      <c r="CQ163" s="7">
        <f t="shared" si="208"/>
        <v>1293</v>
      </c>
      <c r="CR163" s="7">
        <f t="shared" si="208"/>
        <v>1196</v>
      </c>
      <c r="CS163" s="7">
        <f t="shared" si="208"/>
        <v>833</v>
      </c>
      <c r="CT163" s="7">
        <f t="shared" si="208"/>
        <v>695</v>
      </c>
      <c r="CU163" s="7">
        <f t="shared" si="208"/>
        <v>533</v>
      </c>
      <c r="CV163" s="7">
        <f t="shared" si="208"/>
        <v>399</v>
      </c>
      <c r="CW163" s="7">
        <f t="shared" si="208"/>
        <v>271</v>
      </c>
      <c r="CX163" s="7">
        <f t="shared" si="208"/>
        <v>196</v>
      </c>
      <c r="CY163" s="7">
        <f t="shared" si="208"/>
        <v>124</v>
      </c>
      <c r="CZ163" s="8"/>
    </row>
    <row r="164" spans="1:104" x14ac:dyDescent="0.3">
      <c r="A164" s="10">
        <v>2015</v>
      </c>
      <c r="B164" s="8"/>
      <c r="C164" s="7">
        <f t="shared" si="186"/>
        <v>103</v>
      </c>
      <c r="D164" s="7">
        <f t="shared" si="186"/>
        <v>13</v>
      </c>
      <c r="E164" s="7">
        <f t="shared" ref="E164:BP164" si="209">F41-E91</f>
        <v>-6</v>
      </c>
      <c r="F164" s="7">
        <f t="shared" si="209"/>
        <v>4</v>
      </c>
      <c r="G164" s="7">
        <f t="shared" si="209"/>
        <v>13</v>
      </c>
      <c r="H164" s="7">
        <f t="shared" si="209"/>
        <v>-5</v>
      </c>
      <c r="I164" s="7">
        <f t="shared" si="209"/>
        <v>14</v>
      </c>
      <c r="J164" s="7">
        <f t="shared" si="209"/>
        <v>2</v>
      </c>
      <c r="K164" s="7">
        <f t="shared" si="209"/>
        <v>3</v>
      </c>
      <c r="L164" s="7">
        <f t="shared" si="209"/>
        <v>2</v>
      </c>
      <c r="M164" s="7">
        <f t="shared" si="209"/>
        <v>1</v>
      </c>
      <c r="N164" s="7">
        <f t="shared" si="209"/>
        <v>4</v>
      </c>
      <c r="O164" s="7">
        <f t="shared" si="209"/>
        <v>-2</v>
      </c>
      <c r="P164" s="7">
        <f t="shared" si="209"/>
        <v>12</v>
      </c>
      <c r="Q164" s="7">
        <f t="shared" si="209"/>
        <v>5</v>
      </c>
      <c r="R164" s="7">
        <f t="shared" si="209"/>
        <v>-3</v>
      </c>
      <c r="S164" s="7">
        <f t="shared" si="209"/>
        <v>-7</v>
      </c>
      <c r="T164" s="7">
        <f t="shared" si="209"/>
        <v>12</v>
      </c>
      <c r="U164" s="7">
        <f t="shared" si="209"/>
        <v>19</v>
      </c>
      <c r="V164" s="7">
        <f t="shared" si="209"/>
        <v>17</v>
      </c>
      <c r="W164" s="7">
        <f t="shared" si="209"/>
        <v>11</v>
      </c>
      <c r="X164" s="7">
        <f t="shared" si="209"/>
        <v>11</v>
      </c>
      <c r="Y164" s="7">
        <f t="shared" si="209"/>
        <v>23</v>
      </c>
      <c r="Z164" s="7">
        <f t="shared" si="209"/>
        <v>11</v>
      </c>
      <c r="AA164" s="7">
        <f t="shared" si="209"/>
        <v>5</v>
      </c>
      <c r="AB164" s="7">
        <f t="shared" si="209"/>
        <v>8</v>
      </c>
      <c r="AC164" s="7">
        <f t="shared" si="209"/>
        <v>33</v>
      </c>
      <c r="AD164" s="7">
        <f t="shared" si="209"/>
        <v>39</v>
      </c>
      <c r="AE164" s="7">
        <f t="shared" si="209"/>
        <v>26</v>
      </c>
      <c r="AF164" s="7">
        <f t="shared" si="209"/>
        <v>35</v>
      </c>
      <c r="AG164" s="7">
        <f t="shared" si="209"/>
        <v>44</v>
      </c>
      <c r="AH164" s="7">
        <f t="shared" si="209"/>
        <v>28</v>
      </c>
      <c r="AI164" s="7">
        <f t="shared" si="209"/>
        <v>87</v>
      </c>
      <c r="AJ164" s="7">
        <f t="shared" si="209"/>
        <v>52</v>
      </c>
      <c r="AK164" s="7">
        <f t="shared" si="209"/>
        <v>33</v>
      </c>
      <c r="AL164" s="7">
        <f t="shared" si="209"/>
        <v>49</v>
      </c>
      <c r="AM164" s="7">
        <f t="shared" si="209"/>
        <v>28</v>
      </c>
      <c r="AN164" s="7">
        <f t="shared" si="209"/>
        <v>41</v>
      </c>
      <c r="AO164" s="7">
        <f t="shared" si="209"/>
        <v>50</v>
      </c>
      <c r="AP164" s="7">
        <f t="shared" si="209"/>
        <v>64</v>
      </c>
      <c r="AQ164" s="7">
        <f t="shared" si="209"/>
        <v>68</v>
      </c>
      <c r="AR164" s="7">
        <f t="shared" si="209"/>
        <v>49</v>
      </c>
      <c r="AS164" s="7">
        <f t="shared" si="209"/>
        <v>77</v>
      </c>
      <c r="AT164" s="7">
        <f t="shared" si="209"/>
        <v>69</v>
      </c>
      <c r="AU164" s="7">
        <f t="shared" si="209"/>
        <v>85</v>
      </c>
      <c r="AV164" s="7">
        <f t="shared" si="209"/>
        <v>104</v>
      </c>
      <c r="AW164" s="7">
        <f t="shared" si="209"/>
        <v>101</v>
      </c>
      <c r="AX164" s="7">
        <f t="shared" si="209"/>
        <v>105</v>
      </c>
      <c r="AY164" s="7">
        <f t="shared" si="209"/>
        <v>117</v>
      </c>
      <c r="AZ164" s="7">
        <f t="shared" si="209"/>
        <v>139</v>
      </c>
      <c r="BA164" s="7">
        <f t="shared" si="209"/>
        <v>147</v>
      </c>
      <c r="BB164" s="7">
        <f t="shared" si="209"/>
        <v>136</v>
      </c>
      <c r="BC164" s="7">
        <f t="shared" si="209"/>
        <v>190</v>
      </c>
      <c r="BD164" s="7">
        <f t="shared" si="209"/>
        <v>187</v>
      </c>
      <c r="BE164" s="7">
        <f t="shared" si="209"/>
        <v>213</v>
      </c>
      <c r="BF164" s="7">
        <f t="shared" si="209"/>
        <v>255</v>
      </c>
      <c r="BG164" s="7">
        <f t="shared" si="209"/>
        <v>220</v>
      </c>
      <c r="BH164" s="7">
        <f t="shared" si="209"/>
        <v>265</v>
      </c>
      <c r="BI164" s="7">
        <f t="shared" si="209"/>
        <v>268</v>
      </c>
      <c r="BJ164" s="7">
        <f t="shared" si="209"/>
        <v>342</v>
      </c>
      <c r="BK164" s="7">
        <f t="shared" si="209"/>
        <v>312</v>
      </c>
      <c r="BL164" s="7">
        <f t="shared" si="209"/>
        <v>421</v>
      </c>
      <c r="BM164" s="7">
        <f t="shared" si="209"/>
        <v>377</v>
      </c>
      <c r="BN164" s="7">
        <f t="shared" si="209"/>
        <v>403</v>
      </c>
      <c r="BO164" s="7">
        <f t="shared" si="209"/>
        <v>432</v>
      </c>
      <c r="BP164" s="7">
        <f t="shared" si="209"/>
        <v>482</v>
      </c>
      <c r="BQ164" s="7">
        <f t="shared" ref="BQ164:CY164" si="210">BR41-BQ91</f>
        <v>534</v>
      </c>
      <c r="BR164" s="7">
        <f t="shared" si="210"/>
        <v>627</v>
      </c>
      <c r="BS164" s="7">
        <f t="shared" si="210"/>
        <v>757</v>
      </c>
      <c r="BT164" s="7">
        <f t="shared" si="210"/>
        <v>697</v>
      </c>
      <c r="BU164" s="7">
        <f t="shared" si="210"/>
        <v>757</v>
      </c>
      <c r="BV164" s="7">
        <f t="shared" si="210"/>
        <v>715</v>
      </c>
      <c r="BW164" s="7">
        <f t="shared" si="210"/>
        <v>691</v>
      </c>
      <c r="BX164" s="7">
        <f t="shared" si="210"/>
        <v>684</v>
      </c>
      <c r="BY164" s="7">
        <f t="shared" si="210"/>
        <v>775</v>
      </c>
      <c r="BZ164" s="7">
        <f t="shared" si="210"/>
        <v>832</v>
      </c>
      <c r="CA164" s="7">
        <f t="shared" si="210"/>
        <v>873</v>
      </c>
      <c r="CB164" s="7">
        <f t="shared" si="210"/>
        <v>892</v>
      </c>
      <c r="CC164" s="7">
        <f t="shared" si="210"/>
        <v>928</v>
      </c>
      <c r="CD164" s="7">
        <f t="shared" si="210"/>
        <v>1003</v>
      </c>
      <c r="CE164" s="7">
        <f t="shared" si="210"/>
        <v>1065</v>
      </c>
      <c r="CF164" s="7">
        <f t="shared" si="210"/>
        <v>1135</v>
      </c>
      <c r="CG164" s="7">
        <f t="shared" si="210"/>
        <v>1366</v>
      </c>
      <c r="CH164" s="7">
        <f t="shared" si="210"/>
        <v>1354</v>
      </c>
      <c r="CI164" s="7">
        <f t="shared" si="210"/>
        <v>1462</v>
      </c>
      <c r="CJ164" s="7">
        <f t="shared" si="210"/>
        <v>1469</v>
      </c>
      <c r="CK164" s="7">
        <f t="shared" si="210"/>
        <v>1562</v>
      </c>
      <c r="CL164" s="7">
        <f t="shared" si="210"/>
        <v>1513</v>
      </c>
      <c r="CM164" s="7">
        <f t="shared" si="210"/>
        <v>1593</v>
      </c>
      <c r="CN164" s="7">
        <f t="shared" si="210"/>
        <v>1609</v>
      </c>
      <c r="CO164" s="7">
        <f t="shared" si="210"/>
        <v>1617</v>
      </c>
      <c r="CP164" s="7">
        <f t="shared" si="210"/>
        <v>1491</v>
      </c>
      <c r="CQ164" s="7">
        <f t="shared" si="210"/>
        <v>1341</v>
      </c>
      <c r="CR164" s="7">
        <f t="shared" si="210"/>
        <v>1192</v>
      </c>
      <c r="CS164" s="7">
        <f t="shared" si="210"/>
        <v>1030</v>
      </c>
      <c r="CT164" s="7">
        <f t="shared" si="210"/>
        <v>685</v>
      </c>
      <c r="CU164" s="7">
        <f t="shared" si="210"/>
        <v>611</v>
      </c>
      <c r="CV164" s="7">
        <f t="shared" si="210"/>
        <v>461</v>
      </c>
      <c r="CW164" s="7">
        <f t="shared" si="210"/>
        <v>266</v>
      </c>
      <c r="CX164" s="7">
        <f t="shared" si="210"/>
        <v>197</v>
      </c>
      <c r="CY164" s="7">
        <f t="shared" si="210"/>
        <v>139</v>
      </c>
      <c r="CZ164" s="8"/>
    </row>
    <row r="165" spans="1:104" x14ac:dyDescent="0.3">
      <c r="A165" s="10">
        <v>2016</v>
      </c>
      <c r="B165" s="8"/>
      <c r="C165" s="7">
        <f t="shared" si="186"/>
        <v>124</v>
      </c>
      <c r="D165" s="7">
        <f t="shared" si="186"/>
        <v>13</v>
      </c>
      <c r="E165" s="7">
        <f t="shared" ref="E165:BP165" si="211">F42-E92</f>
        <v>-2</v>
      </c>
      <c r="F165" s="7">
        <f t="shared" si="211"/>
        <v>10</v>
      </c>
      <c r="G165" s="7">
        <f t="shared" si="211"/>
        <v>10</v>
      </c>
      <c r="H165" s="7">
        <f t="shared" si="211"/>
        <v>-3</v>
      </c>
      <c r="I165" s="7">
        <f t="shared" si="211"/>
        <v>15</v>
      </c>
      <c r="J165" s="7">
        <f t="shared" si="211"/>
        <v>13</v>
      </c>
      <c r="K165" s="7">
        <f t="shared" si="211"/>
        <v>-3</v>
      </c>
      <c r="L165" s="7">
        <f t="shared" si="211"/>
        <v>10</v>
      </c>
      <c r="M165" s="7">
        <f t="shared" si="211"/>
        <v>1</v>
      </c>
      <c r="N165" s="7">
        <f t="shared" si="211"/>
        <v>11</v>
      </c>
      <c r="O165" s="7">
        <f t="shared" si="211"/>
        <v>4</v>
      </c>
      <c r="P165" s="7">
        <f t="shared" si="211"/>
        <v>-6</v>
      </c>
      <c r="Q165" s="7">
        <f t="shared" si="211"/>
        <v>31</v>
      </c>
      <c r="R165" s="7">
        <f t="shared" si="211"/>
        <v>-3</v>
      </c>
      <c r="S165" s="7">
        <f t="shared" si="211"/>
        <v>7</v>
      </c>
      <c r="T165" s="7">
        <f t="shared" si="211"/>
        <v>7</v>
      </c>
      <c r="U165" s="7">
        <f t="shared" si="211"/>
        <v>17</v>
      </c>
      <c r="V165" s="7">
        <f t="shared" si="211"/>
        <v>0</v>
      </c>
      <c r="W165" s="7">
        <f t="shared" si="211"/>
        <v>20</v>
      </c>
      <c r="X165" s="7">
        <f t="shared" si="211"/>
        <v>0</v>
      </c>
      <c r="Y165" s="7">
        <f t="shared" si="211"/>
        <v>3</v>
      </c>
      <c r="Z165" s="7">
        <f t="shared" si="211"/>
        <v>24</v>
      </c>
      <c r="AA165" s="7">
        <f t="shared" si="211"/>
        <v>12</v>
      </c>
      <c r="AB165" s="7">
        <f t="shared" si="211"/>
        <v>24</v>
      </c>
      <c r="AC165" s="7">
        <f t="shared" si="211"/>
        <v>21</v>
      </c>
      <c r="AD165" s="7">
        <f t="shared" si="211"/>
        <v>36</v>
      </c>
      <c r="AE165" s="7">
        <f t="shared" si="211"/>
        <v>1</v>
      </c>
      <c r="AF165" s="7">
        <f t="shared" si="211"/>
        <v>40</v>
      </c>
      <c r="AG165" s="7">
        <f t="shared" si="211"/>
        <v>15</v>
      </c>
      <c r="AH165" s="7">
        <f t="shared" si="211"/>
        <v>98</v>
      </c>
      <c r="AI165" s="7">
        <f t="shared" si="211"/>
        <v>39</v>
      </c>
      <c r="AJ165" s="7">
        <f t="shared" si="211"/>
        <v>45</v>
      </c>
      <c r="AK165" s="7">
        <f t="shared" si="211"/>
        <v>51</v>
      </c>
      <c r="AL165" s="7">
        <f t="shared" si="211"/>
        <v>52</v>
      </c>
      <c r="AM165" s="7">
        <f t="shared" si="211"/>
        <v>28</v>
      </c>
      <c r="AN165" s="7">
        <f t="shared" si="211"/>
        <v>49</v>
      </c>
      <c r="AO165" s="7">
        <f t="shared" si="211"/>
        <v>55</v>
      </c>
      <c r="AP165" s="7">
        <f t="shared" si="211"/>
        <v>39</v>
      </c>
      <c r="AQ165" s="7">
        <f t="shared" si="211"/>
        <v>58</v>
      </c>
      <c r="AR165" s="7">
        <f t="shared" si="211"/>
        <v>69</v>
      </c>
      <c r="AS165" s="7">
        <f t="shared" si="211"/>
        <v>80</v>
      </c>
      <c r="AT165" s="7">
        <f t="shared" si="211"/>
        <v>62</v>
      </c>
      <c r="AU165" s="7">
        <f t="shared" si="211"/>
        <v>97</v>
      </c>
      <c r="AV165" s="7">
        <f t="shared" si="211"/>
        <v>86</v>
      </c>
      <c r="AW165" s="7">
        <f t="shared" si="211"/>
        <v>100</v>
      </c>
      <c r="AX165" s="7">
        <f t="shared" si="211"/>
        <v>121</v>
      </c>
      <c r="AY165" s="7">
        <f t="shared" si="211"/>
        <v>108</v>
      </c>
      <c r="AZ165" s="7">
        <f t="shared" si="211"/>
        <v>124</v>
      </c>
      <c r="BA165" s="7">
        <f t="shared" si="211"/>
        <v>144</v>
      </c>
      <c r="BB165" s="7">
        <f t="shared" si="211"/>
        <v>171</v>
      </c>
      <c r="BC165" s="7">
        <f t="shared" si="211"/>
        <v>179</v>
      </c>
      <c r="BD165" s="7">
        <f t="shared" si="211"/>
        <v>191</v>
      </c>
      <c r="BE165" s="7">
        <f t="shared" si="211"/>
        <v>192</v>
      </c>
      <c r="BF165" s="7">
        <f t="shared" si="211"/>
        <v>215</v>
      </c>
      <c r="BG165" s="7">
        <f t="shared" si="211"/>
        <v>227</v>
      </c>
      <c r="BH165" s="7">
        <f t="shared" si="211"/>
        <v>284</v>
      </c>
      <c r="BI165" s="7">
        <f t="shared" si="211"/>
        <v>298</v>
      </c>
      <c r="BJ165" s="7">
        <f t="shared" si="211"/>
        <v>298</v>
      </c>
      <c r="BK165" s="7">
        <f t="shared" si="211"/>
        <v>349</v>
      </c>
      <c r="BL165" s="7">
        <f t="shared" si="211"/>
        <v>380</v>
      </c>
      <c r="BM165" s="7">
        <f t="shared" si="211"/>
        <v>411</v>
      </c>
      <c r="BN165" s="7">
        <f t="shared" si="211"/>
        <v>409</v>
      </c>
      <c r="BO165" s="7">
        <f t="shared" si="211"/>
        <v>460</v>
      </c>
      <c r="BP165" s="7">
        <f t="shared" si="211"/>
        <v>535</v>
      </c>
      <c r="BQ165" s="7">
        <f t="shared" ref="BQ165:CY165" si="212">BR42-BQ92</f>
        <v>562</v>
      </c>
      <c r="BR165" s="7">
        <f t="shared" si="212"/>
        <v>616</v>
      </c>
      <c r="BS165" s="7">
        <f t="shared" si="212"/>
        <v>689</v>
      </c>
      <c r="BT165" s="7">
        <f t="shared" si="212"/>
        <v>791</v>
      </c>
      <c r="BU165" s="7">
        <f t="shared" si="212"/>
        <v>744</v>
      </c>
      <c r="BV165" s="7">
        <f t="shared" si="212"/>
        <v>828</v>
      </c>
      <c r="BW165" s="7">
        <f t="shared" si="212"/>
        <v>732</v>
      </c>
      <c r="BX165" s="7">
        <f t="shared" si="212"/>
        <v>745</v>
      </c>
      <c r="BY165" s="7">
        <f t="shared" si="212"/>
        <v>712</v>
      </c>
      <c r="BZ165" s="7">
        <f t="shared" si="212"/>
        <v>828</v>
      </c>
      <c r="CA165" s="7">
        <f t="shared" si="212"/>
        <v>834</v>
      </c>
      <c r="CB165" s="7">
        <f t="shared" si="212"/>
        <v>944</v>
      </c>
      <c r="CC165" s="7">
        <f t="shared" si="212"/>
        <v>952</v>
      </c>
      <c r="CD165" s="7">
        <f t="shared" si="212"/>
        <v>990</v>
      </c>
      <c r="CE165" s="7">
        <f t="shared" si="212"/>
        <v>1035</v>
      </c>
      <c r="CF165" s="7">
        <f t="shared" si="212"/>
        <v>1124</v>
      </c>
      <c r="CG165" s="7">
        <f t="shared" si="212"/>
        <v>1174</v>
      </c>
      <c r="CH165" s="7">
        <f t="shared" si="212"/>
        <v>1375</v>
      </c>
      <c r="CI165" s="7">
        <f t="shared" si="212"/>
        <v>1344</v>
      </c>
      <c r="CJ165" s="7">
        <f t="shared" si="212"/>
        <v>1489</v>
      </c>
      <c r="CK165" s="7">
        <f t="shared" si="212"/>
        <v>1598</v>
      </c>
      <c r="CL165" s="7">
        <f t="shared" si="212"/>
        <v>1569</v>
      </c>
      <c r="CM165" s="7">
        <f t="shared" si="212"/>
        <v>1517</v>
      </c>
      <c r="CN165" s="7">
        <f t="shared" si="212"/>
        <v>1552</v>
      </c>
      <c r="CO165" s="7">
        <f t="shared" si="212"/>
        <v>1464</v>
      </c>
      <c r="CP165" s="7">
        <f t="shared" si="212"/>
        <v>1429</v>
      </c>
      <c r="CQ165" s="7">
        <f t="shared" si="212"/>
        <v>1317</v>
      </c>
      <c r="CR165" s="7">
        <f t="shared" si="212"/>
        <v>1173</v>
      </c>
      <c r="CS165" s="7">
        <f t="shared" si="212"/>
        <v>1018</v>
      </c>
      <c r="CT165" s="7">
        <f t="shared" si="212"/>
        <v>907</v>
      </c>
      <c r="CU165" s="7">
        <f t="shared" si="212"/>
        <v>593</v>
      </c>
      <c r="CV165" s="7">
        <f t="shared" si="212"/>
        <v>437</v>
      </c>
      <c r="CW165" s="7">
        <f t="shared" si="212"/>
        <v>320</v>
      </c>
      <c r="CX165" s="7">
        <f t="shared" si="212"/>
        <v>203</v>
      </c>
      <c r="CY165" s="7">
        <f t="shared" si="212"/>
        <v>149</v>
      </c>
      <c r="CZ165" s="8"/>
    </row>
    <row r="166" spans="1:104" x14ac:dyDescent="0.3">
      <c r="A166" s="10">
        <v>2017</v>
      </c>
      <c r="B166" s="8"/>
      <c r="C166" s="7">
        <f t="shared" si="186"/>
        <v>106</v>
      </c>
      <c r="D166" s="7">
        <f t="shared" si="186"/>
        <v>3</v>
      </c>
      <c r="E166" s="7">
        <f t="shared" ref="E166:BP166" si="213">F43-E93</f>
        <v>19</v>
      </c>
      <c r="F166" s="7">
        <f t="shared" si="213"/>
        <v>5</v>
      </c>
      <c r="G166" s="7">
        <f t="shared" si="213"/>
        <v>17</v>
      </c>
      <c r="H166" s="7">
        <f t="shared" si="213"/>
        <v>1</v>
      </c>
      <c r="I166" s="7">
        <f t="shared" si="213"/>
        <v>-7</v>
      </c>
      <c r="J166" s="7">
        <f t="shared" si="213"/>
        <v>20</v>
      </c>
      <c r="K166" s="7">
        <f t="shared" si="213"/>
        <v>1</v>
      </c>
      <c r="L166" s="7">
        <f t="shared" si="213"/>
        <v>4</v>
      </c>
      <c r="M166" s="7">
        <f t="shared" si="213"/>
        <v>-1</v>
      </c>
      <c r="N166" s="7">
        <f t="shared" si="213"/>
        <v>2</v>
      </c>
      <c r="O166" s="7">
        <f t="shared" si="213"/>
        <v>-7</v>
      </c>
      <c r="P166" s="7">
        <f t="shared" si="213"/>
        <v>15</v>
      </c>
      <c r="Q166" s="7">
        <f t="shared" si="213"/>
        <v>16</v>
      </c>
      <c r="R166" s="7">
        <f t="shared" si="213"/>
        <v>9</v>
      </c>
      <c r="S166" s="7">
        <f t="shared" si="213"/>
        <v>6</v>
      </c>
      <c r="T166" s="7">
        <f t="shared" si="213"/>
        <v>6</v>
      </c>
      <c r="U166" s="7">
        <f t="shared" si="213"/>
        <v>0</v>
      </c>
      <c r="V166" s="7">
        <f t="shared" si="213"/>
        <v>12</v>
      </c>
      <c r="W166" s="7">
        <f t="shared" si="213"/>
        <v>37</v>
      </c>
      <c r="X166" s="7">
        <f t="shared" si="213"/>
        <v>-42</v>
      </c>
      <c r="Y166" s="7">
        <f t="shared" si="213"/>
        <v>20</v>
      </c>
      <c r="Z166" s="7">
        <f t="shared" si="213"/>
        <v>54</v>
      </c>
      <c r="AA166" s="7">
        <f t="shared" si="213"/>
        <v>-6</v>
      </c>
      <c r="AB166" s="7">
        <f t="shared" si="213"/>
        <v>20</v>
      </c>
      <c r="AC166" s="7">
        <f t="shared" si="213"/>
        <v>26</v>
      </c>
      <c r="AD166" s="7">
        <f t="shared" si="213"/>
        <v>-35</v>
      </c>
      <c r="AE166" s="7">
        <f t="shared" si="213"/>
        <v>29</v>
      </c>
      <c r="AF166" s="7">
        <f t="shared" si="213"/>
        <v>9</v>
      </c>
      <c r="AG166" s="7">
        <f t="shared" si="213"/>
        <v>42</v>
      </c>
      <c r="AH166" s="7">
        <f t="shared" si="213"/>
        <v>40</v>
      </c>
      <c r="AI166" s="7">
        <f t="shared" si="213"/>
        <v>95</v>
      </c>
      <c r="AJ166" s="7">
        <f t="shared" si="213"/>
        <v>28</v>
      </c>
      <c r="AK166" s="7">
        <f t="shared" si="213"/>
        <v>72</v>
      </c>
      <c r="AL166" s="7">
        <f t="shared" si="213"/>
        <v>38</v>
      </c>
      <c r="AM166" s="7">
        <f t="shared" si="213"/>
        <v>51</v>
      </c>
      <c r="AN166" s="7">
        <f t="shared" si="213"/>
        <v>40</v>
      </c>
      <c r="AO166" s="7">
        <f t="shared" si="213"/>
        <v>47</v>
      </c>
      <c r="AP166" s="7">
        <f t="shared" si="213"/>
        <v>48</v>
      </c>
      <c r="AQ166" s="7">
        <f t="shared" si="213"/>
        <v>45</v>
      </c>
      <c r="AR166" s="7">
        <f t="shared" si="213"/>
        <v>69</v>
      </c>
      <c r="AS166" s="7">
        <f t="shared" si="213"/>
        <v>77</v>
      </c>
      <c r="AT166" s="7">
        <f t="shared" si="213"/>
        <v>39</v>
      </c>
      <c r="AU166" s="7">
        <f t="shared" si="213"/>
        <v>72</v>
      </c>
      <c r="AV166" s="7">
        <f t="shared" si="213"/>
        <v>90</v>
      </c>
      <c r="AW166" s="7">
        <f t="shared" si="213"/>
        <v>115</v>
      </c>
      <c r="AX166" s="7">
        <f t="shared" si="213"/>
        <v>99</v>
      </c>
      <c r="AY166" s="7">
        <f t="shared" si="213"/>
        <v>120</v>
      </c>
      <c r="AZ166" s="7">
        <f t="shared" si="213"/>
        <v>134</v>
      </c>
      <c r="BA166" s="7">
        <f t="shared" si="213"/>
        <v>139</v>
      </c>
      <c r="BB166" s="7">
        <f t="shared" si="213"/>
        <v>151</v>
      </c>
      <c r="BC166" s="7">
        <f t="shared" si="213"/>
        <v>155</v>
      </c>
      <c r="BD166" s="7">
        <f t="shared" si="213"/>
        <v>192</v>
      </c>
      <c r="BE166" s="7">
        <f t="shared" si="213"/>
        <v>207</v>
      </c>
      <c r="BF166" s="7">
        <f t="shared" si="213"/>
        <v>179</v>
      </c>
      <c r="BG166" s="7">
        <f t="shared" si="213"/>
        <v>229</v>
      </c>
      <c r="BH166" s="7">
        <f t="shared" si="213"/>
        <v>269</v>
      </c>
      <c r="BI166" s="7">
        <f t="shared" si="213"/>
        <v>274</v>
      </c>
      <c r="BJ166" s="7">
        <f t="shared" si="213"/>
        <v>312</v>
      </c>
      <c r="BK166" s="7">
        <f t="shared" si="213"/>
        <v>347</v>
      </c>
      <c r="BL166" s="7">
        <f t="shared" si="213"/>
        <v>342</v>
      </c>
      <c r="BM166" s="7">
        <f t="shared" si="213"/>
        <v>344</v>
      </c>
      <c r="BN166" s="7">
        <f t="shared" si="213"/>
        <v>431</v>
      </c>
      <c r="BO166" s="7">
        <f t="shared" si="213"/>
        <v>444</v>
      </c>
      <c r="BP166" s="7">
        <f t="shared" si="213"/>
        <v>480</v>
      </c>
      <c r="BQ166" s="7">
        <f t="shared" ref="BQ166:CY166" si="214">BR43-BQ93</f>
        <v>561</v>
      </c>
      <c r="BR166" s="7">
        <f t="shared" si="214"/>
        <v>602</v>
      </c>
      <c r="BS166" s="7">
        <f t="shared" si="214"/>
        <v>653</v>
      </c>
      <c r="BT166" s="7">
        <f t="shared" si="214"/>
        <v>737</v>
      </c>
      <c r="BU166" s="7">
        <f t="shared" si="214"/>
        <v>796</v>
      </c>
      <c r="BV166" s="7">
        <f t="shared" si="214"/>
        <v>832</v>
      </c>
      <c r="BW166" s="7">
        <f t="shared" si="214"/>
        <v>878</v>
      </c>
      <c r="BX166" s="7">
        <f t="shared" si="214"/>
        <v>831</v>
      </c>
      <c r="BY166" s="7">
        <f t="shared" si="214"/>
        <v>810</v>
      </c>
      <c r="BZ166" s="7">
        <f t="shared" si="214"/>
        <v>772</v>
      </c>
      <c r="CA166" s="7">
        <f t="shared" si="214"/>
        <v>889</v>
      </c>
      <c r="CB166" s="7">
        <f t="shared" si="214"/>
        <v>945</v>
      </c>
      <c r="CC166" s="7">
        <f t="shared" si="214"/>
        <v>1001</v>
      </c>
      <c r="CD166" s="7">
        <f t="shared" si="214"/>
        <v>1051</v>
      </c>
      <c r="CE166" s="7">
        <f t="shared" si="214"/>
        <v>1077</v>
      </c>
      <c r="CF166" s="7">
        <f t="shared" si="214"/>
        <v>1124</v>
      </c>
      <c r="CG166" s="7">
        <f t="shared" si="214"/>
        <v>1128</v>
      </c>
      <c r="CH166" s="7">
        <f t="shared" si="214"/>
        <v>1233</v>
      </c>
      <c r="CI166" s="7">
        <f t="shared" si="214"/>
        <v>1457</v>
      </c>
      <c r="CJ166" s="7">
        <f t="shared" si="214"/>
        <v>1482</v>
      </c>
      <c r="CK166" s="7">
        <f t="shared" si="214"/>
        <v>1571</v>
      </c>
      <c r="CL166" s="7">
        <f t="shared" si="214"/>
        <v>1471</v>
      </c>
      <c r="CM166" s="7">
        <f t="shared" si="214"/>
        <v>1579</v>
      </c>
      <c r="CN166" s="7">
        <f t="shared" si="214"/>
        <v>1543</v>
      </c>
      <c r="CO166" s="7">
        <f t="shared" si="214"/>
        <v>1538</v>
      </c>
      <c r="CP166" s="7">
        <f t="shared" si="214"/>
        <v>1412</v>
      </c>
      <c r="CQ166" s="7">
        <f t="shared" si="214"/>
        <v>1317</v>
      </c>
      <c r="CR166" s="7">
        <f t="shared" si="214"/>
        <v>1162</v>
      </c>
      <c r="CS166" s="7">
        <f t="shared" si="214"/>
        <v>1054</v>
      </c>
      <c r="CT166" s="7">
        <f t="shared" si="214"/>
        <v>877</v>
      </c>
      <c r="CU166" s="7">
        <f t="shared" si="214"/>
        <v>704</v>
      </c>
      <c r="CV166" s="7">
        <f t="shared" si="214"/>
        <v>445</v>
      </c>
      <c r="CW166" s="7">
        <f t="shared" si="214"/>
        <v>321</v>
      </c>
      <c r="CX166" s="7">
        <f t="shared" si="214"/>
        <v>227</v>
      </c>
      <c r="CY166" s="7">
        <f t="shared" si="214"/>
        <v>155</v>
      </c>
      <c r="CZ166" s="8"/>
    </row>
    <row r="167" spans="1:104" x14ac:dyDescent="0.3">
      <c r="A167" s="10">
        <v>2018</v>
      </c>
      <c r="B167" s="8"/>
      <c r="C167" s="7">
        <f t="shared" si="186"/>
        <v>32</v>
      </c>
      <c r="D167" s="7">
        <f t="shared" si="186"/>
        <v>-10</v>
      </c>
      <c r="E167" s="7">
        <f t="shared" ref="E167:BP167" si="215">F44-E94</f>
        <v>-12</v>
      </c>
      <c r="F167" s="7">
        <f t="shared" si="215"/>
        <v>20</v>
      </c>
      <c r="G167" s="7">
        <f t="shared" si="215"/>
        <v>1</v>
      </c>
      <c r="H167" s="7">
        <f t="shared" si="215"/>
        <v>12</v>
      </c>
      <c r="I167" s="7">
        <f t="shared" si="215"/>
        <v>2</v>
      </c>
      <c r="J167" s="7">
        <f t="shared" si="215"/>
        <v>-4</v>
      </c>
      <c r="K167" s="7">
        <f t="shared" si="215"/>
        <v>0</v>
      </c>
      <c r="L167" s="7">
        <f t="shared" si="215"/>
        <v>5</v>
      </c>
      <c r="M167" s="7">
        <f t="shared" si="215"/>
        <v>9</v>
      </c>
      <c r="N167" s="7">
        <f t="shared" si="215"/>
        <v>-2</v>
      </c>
      <c r="O167" s="7">
        <f t="shared" si="215"/>
        <v>15</v>
      </c>
      <c r="P167" s="7">
        <f t="shared" si="215"/>
        <v>5</v>
      </c>
      <c r="Q167" s="7">
        <f t="shared" si="215"/>
        <v>16</v>
      </c>
      <c r="R167" s="7">
        <f t="shared" si="215"/>
        <v>2</v>
      </c>
      <c r="S167" s="7">
        <f t="shared" si="215"/>
        <v>-5</v>
      </c>
      <c r="T167" s="7">
        <f t="shared" si="215"/>
        <v>-17</v>
      </c>
      <c r="U167" s="7">
        <f t="shared" si="215"/>
        <v>46</v>
      </c>
      <c r="V167" s="7">
        <f t="shared" si="215"/>
        <v>14</v>
      </c>
      <c r="W167" s="7">
        <f t="shared" si="215"/>
        <v>4</v>
      </c>
      <c r="X167" s="7">
        <f t="shared" si="215"/>
        <v>7</v>
      </c>
      <c r="Y167" s="7">
        <f t="shared" si="215"/>
        <v>-24</v>
      </c>
      <c r="Z167" s="7">
        <f t="shared" si="215"/>
        <v>7</v>
      </c>
      <c r="AA167" s="7">
        <f t="shared" si="215"/>
        <v>-1</v>
      </c>
      <c r="AB167" s="7">
        <f t="shared" si="215"/>
        <v>0</v>
      </c>
      <c r="AC167" s="7">
        <f t="shared" si="215"/>
        <v>7</v>
      </c>
      <c r="AD167" s="7">
        <f t="shared" si="215"/>
        <v>34</v>
      </c>
      <c r="AE167" s="7">
        <f t="shared" si="215"/>
        <v>51</v>
      </c>
      <c r="AF167" s="7">
        <f t="shared" si="215"/>
        <v>28</v>
      </c>
      <c r="AG167" s="7">
        <f t="shared" si="215"/>
        <v>27</v>
      </c>
      <c r="AH167" s="7">
        <f t="shared" si="215"/>
        <v>56</v>
      </c>
      <c r="AI167" s="7">
        <f t="shared" si="215"/>
        <v>50</v>
      </c>
      <c r="AJ167" s="7">
        <f t="shared" si="215"/>
        <v>49</v>
      </c>
      <c r="AK167" s="7">
        <f t="shared" si="215"/>
        <v>41</v>
      </c>
      <c r="AL167" s="7">
        <f t="shared" si="215"/>
        <v>40</v>
      </c>
      <c r="AM167" s="7">
        <f t="shared" si="215"/>
        <v>46</v>
      </c>
      <c r="AN167" s="7">
        <f t="shared" si="215"/>
        <v>56</v>
      </c>
      <c r="AO167" s="7">
        <f t="shared" si="215"/>
        <v>81</v>
      </c>
      <c r="AP167" s="7">
        <f t="shared" si="215"/>
        <v>59</v>
      </c>
      <c r="AQ167" s="7">
        <f t="shared" si="215"/>
        <v>42</v>
      </c>
      <c r="AR167" s="7">
        <f t="shared" si="215"/>
        <v>56</v>
      </c>
      <c r="AS167" s="7">
        <f t="shared" si="215"/>
        <v>83</v>
      </c>
      <c r="AT167" s="7">
        <f t="shared" si="215"/>
        <v>76</v>
      </c>
      <c r="AU167" s="7">
        <f t="shared" si="215"/>
        <v>83</v>
      </c>
      <c r="AV167" s="7">
        <f t="shared" si="215"/>
        <v>94</v>
      </c>
      <c r="AW167" s="7">
        <f t="shared" si="215"/>
        <v>95</v>
      </c>
      <c r="AX167" s="7">
        <f t="shared" si="215"/>
        <v>95</v>
      </c>
      <c r="AY167" s="7">
        <f t="shared" si="215"/>
        <v>126</v>
      </c>
      <c r="AZ167" s="7">
        <f t="shared" si="215"/>
        <v>133</v>
      </c>
      <c r="BA167" s="7">
        <f t="shared" si="215"/>
        <v>155</v>
      </c>
      <c r="BB167" s="7">
        <f t="shared" si="215"/>
        <v>138</v>
      </c>
      <c r="BC167" s="7">
        <f t="shared" si="215"/>
        <v>160</v>
      </c>
      <c r="BD167" s="7">
        <f t="shared" si="215"/>
        <v>177</v>
      </c>
      <c r="BE167" s="7">
        <f t="shared" si="215"/>
        <v>187</v>
      </c>
      <c r="BF167" s="7">
        <f t="shared" si="215"/>
        <v>214</v>
      </c>
      <c r="BG167" s="7">
        <f t="shared" si="215"/>
        <v>230</v>
      </c>
      <c r="BH167" s="7">
        <f t="shared" si="215"/>
        <v>250</v>
      </c>
      <c r="BI167" s="7">
        <f t="shared" si="215"/>
        <v>273</v>
      </c>
      <c r="BJ167" s="7">
        <f t="shared" si="215"/>
        <v>307</v>
      </c>
      <c r="BK167" s="7">
        <f t="shared" si="215"/>
        <v>330</v>
      </c>
      <c r="BL167" s="7">
        <f t="shared" si="215"/>
        <v>348</v>
      </c>
      <c r="BM167" s="7">
        <f t="shared" si="215"/>
        <v>382</v>
      </c>
      <c r="BN167" s="7">
        <f t="shared" si="215"/>
        <v>409</v>
      </c>
      <c r="BO167" s="7">
        <f t="shared" si="215"/>
        <v>463</v>
      </c>
      <c r="BP167" s="7">
        <f t="shared" si="215"/>
        <v>492</v>
      </c>
      <c r="BQ167" s="7">
        <f t="shared" ref="BQ167:CY167" si="216">BR44-BQ94</f>
        <v>484</v>
      </c>
      <c r="BR167" s="7">
        <f t="shared" si="216"/>
        <v>583</v>
      </c>
      <c r="BS167" s="7">
        <f t="shared" si="216"/>
        <v>620</v>
      </c>
      <c r="BT167" s="7">
        <f t="shared" si="216"/>
        <v>713</v>
      </c>
      <c r="BU167" s="7">
        <f t="shared" si="216"/>
        <v>788</v>
      </c>
      <c r="BV167" s="7">
        <f t="shared" si="216"/>
        <v>883</v>
      </c>
      <c r="BW167" s="7">
        <f t="shared" si="216"/>
        <v>850</v>
      </c>
      <c r="BX167" s="7">
        <f t="shared" si="216"/>
        <v>860</v>
      </c>
      <c r="BY167" s="7">
        <f t="shared" si="216"/>
        <v>859</v>
      </c>
      <c r="BZ167" s="7">
        <f t="shared" si="216"/>
        <v>906</v>
      </c>
      <c r="CA167" s="7">
        <f t="shared" si="216"/>
        <v>823</v>
      </c>
      <c r="CB167" s="7">
        <f t="shared" si="216"/>
        <v>1030</v>
      </c>
      <c r="CC167" s="7">
        <f t="shared" si="216"/>
        <v>992</v>
      </c>
      <c r="CD167" s="7">
        <f t="shared" si="216"/>
        <v>1083</v>
      </c>
      <c r="CE167" s="7">
        <f t="shared" si="216"/>
        <v>1067</v>
      </c>
      <c r="CF167" s="7">
        <f t="shared" si="216"/>
        <v>1173</v>
      </c>
      <c r="CG167" s="7">
        <f t="shared" si="216"/>
        <v>1245</v>
      </c>
      <c r="CH167" s="7">
        <f t="shared" si="216"/>
        <v>1236</v>
      </c>
      <c r="CI167" s="7">
        <f t="shared" si="216"/>
        <v>1265</v>
      </c>
      <c r="CJ167" s="7">
        <f t="shared" si="216"/>
        <v>1418</v>
      </c>
      <c r="CK167" s="7">
        <f t="shared" si="216"/>
        <v>1497</v>
      </c>
      <c r="CL167" s="7">
        <f t="shared" si="216"/>
        <v>1531</v>
      </c>
      <c r="CM167" s="7">
        <f t="shared" si="216"/>
        <v>1518</v>
      </c>
      <c r="CN167" s="7">
        <f t="shared" si="216"/>
        <v>1637</v>
      </c>
      <c r="CO167" s="7">
        <f t="shared" si="216"/>
        <v>1414</v>
      </c>
      <c r="CP167" s="7">
        <f t="shared" si="216"/>
        <v>1469</v>
      </c>
      <c r="CQ167" s="7">
        <f t="shared" si="216"/>
        <v>1263</v>
      </c>
      <c r="CR167" s="7">
        <f t="shared" si="216"/>
        <v>1123</v>
      </c>
      <c r="CS167" s="7">
        <f t="shared" si="216"/>
        <v>1016</v>
      </c>
      <c r="CT167" s="7">
        <f t="shared" si="216"/>
        <v>882</v>
      </c>
      <c r="CU167" s="7">
        <f t="shared" si="216"/>
        <v>670</v>
      </c>
      <c r="CV167" s="7">
        <f t="shared" si="216"/>
        <v>542</v>
      </c>
      <c r="CW167" s="7">
        <f t="shared" si="216"/>
        <v>340</v>
      </c>
      <c r="CX167" s="7">
        <f t="shared" si="216"/>
        <v>263</v>
      </c>
      <c r="CY167" s="7">
        <f t="shared" si="216"/>
        <v>145</v>
      </c>
      <c r="CZ167" s="8"/>
    </row>
    <row r="168" spans="1:104" x14ac:dyDescent="0.3">
      <c r="A168" s="10">
        <v>2019</v>
      </c>
      <c r="B168" s="8"/>
      <c r="C168" s="7">
        <f t="shared" si="186"/>
        <v>9</v>
      </c>
      <c r="D168" s="7">
        <f t="shared" si="186"/>
        <v>5</v>
      </c>
      <c r="E168" s="7">
        <f t="shared" ref="E168:BP168" si="217">F45-E95</f>
        <v>-7</v>
      </c>
      <c r="F168" s="7">
        <f t="shared" si="217"/>
        <v>-1</v>
      </c>
      <c r="G168" s="7">
        <f t="shared" si="217"/>
        <v>6</v>
      </c>
      <c r="H168" s="7">
        <f t="shared" si="217"/>
        <v>12</v>
      </c>
      <c r="I168" s="7">
        <f t="shared" si="217"/>
        <v>2</v>
      </c>
      <c r="J168" s="7">
        <f t="shared" si="217"/>
        <v>4</v>
      </c>
      <c r="K168" s="7">
        <f t="shared" si="217"/>
        <v>1</v>
      </c>
      <c r="L168" s="7">
        <f t="shared" si="217"/>
        <v>18</v>
      </c>
      <c r="M168" s="7">
        <f t="shared" si="217"/>
        <v>-14</v>
      </c>
      <c r="N168" s="7">
        <f t="shared" si="217"/>
        <v>17</v>
      </c>
      <c r="O168" s="7">
        <f t="shared" si="217"/>
        <v>-1</v>
      </c>
      <c r="P168" s="7">
        <f t="shared" si="217"/>
        <v>16</v>
      </c>
      <c r="Q168" s="7">
        <f t="shared" si="217"/>
        <v>3</v>
      </c>
      <c r="R168" s="7">
        <f t="shared" si="217"/>
        <v>14</v>
      </c>
      <c r="S168" s="7">
        <f t="shared" si="217"/>
        <v>5</v>
      </c>
      <c r="T168" s="7">
        <f t="shared" si="217"/>
        <v>-6</v>
      </c>
      <c r="U168" s="7">
        <f t="shared" si="217"/>
        <v>41</v>
      </c>
      <c r="V168" s="7">
        <f t="shared" si="217"/>
        <v>32</v>
      </c>
      <c r="W168" s="7">
        <f t="shared" si="217"/>
        <v>-11</v>
      </c>
      <c r="X168" s="7">
        <f t="shared" si="217"/>
        <v>27</v>
      </c>
      <c r="Y168" s="7">
        <f t="shared" si="217"/>
        <v>51</v>
      </c>
      <c r="Z168" s="7">
        <f t="shared" si="217"/>
        <v>-3</v>
      </c>
      <c r="AA168" s="7">
        <f t="shared" si="217"/>
        <v>34</v>
      </c>
      <c r="AB168" s="7">
        <f t="shared" si="217"/>
        <v>28</v>
      </c>
      <c r="AC168" s="7">
        <f t="shared" si="217"/>
        <v>5</v>
      </c>
      <c r="AD168" s="7">
        <f t="shared" si="217"/>
        <v>44</v>
      </c>
      <c r="AE168" s="7">
        <f t="shared" si="217"/>
        <v>18</v>
      </c>
      <c r="AF168" s="7">
        <f t="shared" si="217"/>
        <v>44</v>
      </c>
      <c r="AG168" s="7">
        <f t="shared" si="217"/>
        <v>27</v>
      </c>
      <c r="AH168" s="7">
        <f t="shared" si="217"/>
        <v>67</v>
      </c>
      <c r="AI168" s="7">
        <f t="shared" si="217"/>
        <v>36</v>
      </c>
      <c r="AJ168" s="7">
        <f t="shared" si="217"/>
        <v>22</v>
      </c>
      <c r="AK168" s="7">
        <f t="shared" si="217"/>
        <v>45</v>
      </c>
      <c r="AL168" s="7">
        <f t="shared" si="217"/>
        <v>39</v>
      </c>
      <c r="AM168" s="7">
        <f t="shared" si="217"/>
        <v>57</v>
      </c>
      <c r="AN168" s="7">
        <f t="shared" si="217"/>
        <v>68</v>
      </c>
      <c r="AO168" s="7">
        <f t="shared" si="217"/>
        <v>44</v>
      </c>
      <c r="AP168" s="7">
        <f t="shared" si="217"/>
        <v>42</v>
      </c>
      <c r="AQ168" s="7">
        <f t="shared" si="217"/>
        <v>50</v>
      </c>
      <c r="AR168" s="7">
        <f t="shared" si="217"/>
        <v>35</v>
      </c>
      <c r="AS168" s="7">
        <f t="shared" si="217"/>
        <v>84</v>
      </c>
      <c r="AT168" s="7">
        <f t="shared" si="217"/>
        <v>65</v>
      </c>
      <c r="AU168" s="7">
        <f t="shared" si="217"/>
        <v>82</v>
      </c>
      <c r="AV168" s="7">
        <f t="shared" si="217"/>
        <v>55</v>
      </c>
      <c r="AW168" s="7">
        <f t="shared" si="217"/>
        <v>91</v>
      </c>
      <c r="AX168" s="7">
        <f t="shared" si="217"/>
        <v>95</v>
      </c>
      <c r="AY168" s="7">
        <f t="shared" si="217"/>
        <v>117</v>
      </c>
      <c r="AZ168" s="7">
        <f t="shared" si="217"/>
        <v>115</v>
      </c>
      <c r="BA168" s="7">
        <f t="shared" si="217"/>
        <v>128</v>
      </c>
      <c r="BB168" s="7">
        <f t="shared" si="217"/>
        <v>166</v>
      </c>
      <c r="BC168" s="7">
        <f t="shared" si="217"/>
        <v>148</v>
      </c>
      <c r="BD168" s="7">
        <f t="shared" si="217"/>
        <v>185</v>
      </c>
      <c r="BE168" s="7">
        <f t="shared" si="217"/>
        <v>191</v>
      </c>
      <c r="BF168" s="7">
        <f t="shared" si="217"/>
        <v>204</v>
      </c>
      <c r="BG168" s="7">
        <f t="shared" si="217"/>
        <v>231</v>
      </c>
      <c r="BH168" s="7">
        <f t="shared" si="217"/>
        <v>240</v>
      </c>
      <c r="BI168" s="7">
        <f t="shared" si="217"/>
        <v>243</v>
      </c>
      <c r="BJ168" s="7">
        <f t="shared" si="217"/>
        <v>279</v>
      </c>
      <c r="BK168" s="7">
        <f t="shared" si="217"/>
        <v>300</v>
      </c>
      <c r="BL168" s="7">
        <f t="shared" si="217"/>
        <v>366</v>
      </c>
      <c r="BM168" s="7">
        <f t="shared" si="217"/>
        <v>417</v>
      </c>
      <c r="BN168" s="7">
        <f t="shared" si="217"/>
        <v>428</v>
      </c>
      <c r="BO168" s="7">
        <f t="shared" si="217"/>
        <v>453</v>
      </c>
      <c r="BP168" s="7">
        <f t="shared" si="217"/>
        <v>481</v>
      </c>
      <c r="BQ168" s="7">
        <f t="shared" ref="BQ168:CY168" si="218">BR45-BQ95</f>
        <v>507</v>
      </c>
      <c r="BR168" s="7">
        <f t="shared" si="218"/>
        <v>498</v>
      </c>
      <c r="BS168" s="7">
        <f t="shared" si="218"/>
        <v>582</v>
      </c>
      <c r="BT168" s="7">
        <f t="shared" si="218"/>
        <v>692</v>
      </c>
      <c r="BU168" s="7">
        <f t="shared" si="218"/>
        <v>719</v>
      </c>
      <c r="BV168" s="7">
        <f t="shared" si="218"/>
        <v>864</v>
      </c>
      <c r="BW168" s="7">
        <f t="shared" si="218"/>
        <v>933</v>
      </c>
      <c r="BX168" s="7">
        <f t="shared" si="218"/>
        <v>985</v>
      </c>
      <c r="BY168" s="7">
        <f t="shared" si="218"/>
        <v>1000</v>
      </c>
      <c r="BZ168" s="7">
        <f t="shared" si="218"/>
        <v>938</v>
      </c>
      <c r="CA168" s="7">
        <f t="shared" si="218"/>
        <v>950</v>
      </c>
      <c r="CB168" s="7">
        <f t="shared" si="218"/>
        <v>899</v>
      </c>
      <c r="CC168" s="7">
        <f t="shared" si="218"/>
        <v>1001</v>
      </c>
      <c r="CD168" s="7">
        <f t="shared" si="218"/>
        <v>1112</v>
      </c>
      <c r="CE168" s="7">
        <f t="shared" si="218"/>
        <v>1086</v>
      </c>
      <c r="CF168" s="7">
        <f t="shared" si="218"/>
        <v>1132</v>
      </c>
      <c r="CG168" s="7">
        <f t="shared" si="218"/>
        <v>1187</v>
      </c>
      <c r="CH168" s="7">
        <f t="shared" si="218"/>
        <v>1296</v>
      </c>
      <c r="CI168" s="7">
        <f t="shared" si="218"/>
        <v>1307</v>
      </c>
      <c r="CJ168" s="7">
        <f t="shared" si="218"/>
        <v>1340</v>
      </c>
      <c r="CK168" s="7">
        <f t="shared" si="218"/>
        <v>1477</v>
      </c>
      <c r="CL168" s="7">
        <f t="shared" si="218"/>
        <v>1536</v>
      </c>
      <c r="CM168" s="7">
        <f t="shared" si="218"/>
        <v>1517</v>
      </c>
      <c r="CN168" s="7">
        <f t="shared" si="218"/>
        <v>1431</v>
      </c>
      <c r="CO168" s="7">
        <f t="shared" si="218"/>
        <v>1477</v>
      </c>
      <c r="CP168" s="7">
        <f t="shared" si="218"/>
        <v>1376</v>
      </c>
      <c r="CQ168" s="7">
        <f t="shared" si="218"/>
        <v>1258</v>
      </c>
      <c r="CR168" s="7">
        <f t="shared" si="218"/>
        <v>1163</v>
      </c>
      <c r="CS168" s="7">
        <f t="shared" si="218"/>
        <v>983</v>
      </c>
      <c r="CT168" s="7">
        <f t="shared" si="218"/>
        <v>789</v>
      </c>
      <c r="CU168" s="7">
        <f t="shared" si="218"/>
        <v>706</v>
      </c>
      <c r="CV168" s="7">
        <f t="shared" si="218"/>
        <v>547</v>
      </c>
      <c r="CW168" s="7">
        <f t="shared" si="218"/>
        <v>388</v>
      </c>
      <c r="CX168" s="7">
        <f t="shared" si="218"/>
        <v>244</v>
      </c>
      <c r="CY168" s="7">
        <f t="shared" si="218"/>
        <v>170</v>
      </c>
      <c r="CZ168" s="8"/>
    </row>
    <row r="169" spans="1:104" x14ac:dyDescent="0.3">
      <c r="A169" s="10">
        <v>2020</v>
      </c>
      <c r="B169" s="8"/>
      <c r="C169" s="7">
        <f t="shared" si="186"/>
        <v>-43</v>
      </c>
      <c r="D169" s="7">
        <f t="shared" si="186"/>
        <v>-24</v>
      </c>
      <c r="E169" s="7">
        <f t="shared" ref="E169:BP169" si="219">F46-E96</f>
        <v>-32</v>
      </c>
      <c r="F169" s="7">
        <f t="shared" si="219"/>
        <v>10</v>
      </c>
      <c r="G169" s="7">
        <f t="shared" si="219"/>
        <v>34</v>
      </c>
      <c r="H169" s="7">
        <f t="shared" si="219"/>
        <v>3</v>
      </c>
      <c r="I169" s="7">
        <f t="shared" si="219"/>
        <v>8</v>
      </c>
      <c r="J169" s="7">
        <f t="shared" si="219"/>
        <v>10</v>
      </c>
      <c r="K169" s="7">
        <f t="shared" si="219"/>
        <v>8</v>
      </c>
      <c r="L169" s="7">
        <f t="shared" si="219"/>
        <v>9</v>
      </c>
      <c r="M169" s="7">
        <f t="shared" si="219"/>
        <v>14</v>
      </c>
      <c r="N169" s="7">
        <f t="shared" si="219"/>
        <v>6</v>
      </c>
      <c r="O169" s="7">
        <f t="shared" si="219"/>
        <v>-2</v>
      </c>
      <c r="P169" s="7">
        <f t="shared" si="219"/>
        <v>16</v>
      </c>
      <c r="Q169" s="7">
        <f t="shared" si="219"/>
        <v>15</v>
      </c>
      <c r="R169" s="7">
        <f t="shared" si="219"/>
        <v>16</v>
      </c>
      <c r="S169" s="7">
        <f t="shared" si="219"/>
        <v>3</v>
      </c>
      <c r="T169" s="7">
        <f t="shared" si="219"/>
        <v>-92</v>
      </c>
      <c r="U169" s="7">
        <f t="shared" si="219"/>
        <v>-13</v>
      </c>
      <c r="V169" s="7">
        <f t="shared" si="219"/>
        <v>112</v>
      </c>
      <c r="W169" s="7">
        <f t="shared" si="219"/>
        <v>16</v>
      </c>
      <c r="X169" s="7">
        <f t="shared" si="219"/>
        <v>14</v>
      </c>
      <c r="Y169" s="7">
        <f t="shared" si="219"/>
        <v>4</v>
      </c>
      <c r="Z169" s="7">
        <f t="shared" si="219"/>
        <v>-11</v>
      </c>
      <c r="AA169" s="7">
        <f t="shared" si="219"/>
        <v>-23</v>
      </c>
      <c r="AB169" s="7">
        <f t="shared" si="219"/>
        <v>6</v>
      </c>
      <c r="AC169" s="7">
        <f t="shared" si="219"/>
        <v>5</v>
      </c>
      <c r="AD169" s="7">
        <f t="shared" si="219"/>
        <v>46</v>
      </c>
      <c r="AE169" s="7">
        <f t="shared" si="219"/>
        <v>8</v>
      </c>
      <c r="AF169" s="7">
        <f t="shared" si="219"/>
        <v>22</v>
      </c>
      <c r="AG169" s="7">
        <f t="shared" si="219"/>
        <v>66</v>
      </c>
      <c r="AH169" s="7">
        <f t="shared" si="219"/>
        <v>70</v>
      </c>
      <c r="AI169" s="7">
        <f t="shared" si="219"/>
        <v>65</v>
      </c>
      <c r="AJ169" s="7">
        <f t="shared" si="219"/>
        <v>68</v>
      </c>
      <c r="AK169" s="7">
        <f t="shared" si="219"/>
        <v>41</v>
      </c>
      <c r="AL169" s="7">
        <f t="shared" si="219"/>
        <v>41</v>
      </c>
      <c r="AM169" s="7">
        <f t="shared" si="219"/>
        <v>67</v>
      </c>
      <c r="AN169" s="7">
        <f t="shared" si="219"/>
        <v>60</v>
      </c>
      <c r="AO169" s="7">
        <f t="shared" si="219"/>
        <v>37</v>
      </c>
      <c r="AP169" s="7">
        <f t="shared" si="219"/>
        <v>61</v>
      </c>
      <c r="AQ169" s="7">
        <f t="shared" si="219"/>
        <v>68</v>
      </c>
      <c r="AR169" s="7">
        <f t="shared" si="219"/>
        <v>75</v>
      </c>
      <c r="AS169" s="7">
        <f t="shared" si="219"/>
        <v>84</v>
      </c>
      <c r="AT169" s="7">
        <f t="shared" si="219"/>
        <v>82</v>
      </c>
      <c r="AU169" s="7">
        <f t="shared" si="219"/>
        <v>34</v>
      </c>
      <c r="AV169" s="7">
        <f t="shared" si="219"/>
        <v>100</v>
      </c>
      <c r="AW169" s="7">
        <f t="shared" si="219"/>
        <v>88</v>
      </c>
      <c r="AX169" s="7">
        <f t="shared" si="219"/>
        <v>115</v>
      </c>
      <c r="AY169" s="7">
        <f t="shared" si="219"/>
        <v>146</v>
      </c>
      <c r="AZ169" s="7">
        <f t="shared" si="219"/>
        <v>115</v>
      </c>
      <c r="BA169" s="7">
        <f t="shared" si="219"/>
        <v>143</v>
      </c>
      <c r="BB169" s="7">
        <f t="shared" si="219"/>
        <v>142</v>
      </c>
      <c r="BC169" s="7">
        <f t="shared" si="219"/>
        <v>159</v>
      </c>
      <c r="BD169" s="7">
        <f t="shared" si="219"/>
        <v>172</v>
      </c>
      <c r="BE169" s="7">
        <f t="shared" si="219"/>
        <v>183</v>
      </c>
      <c r="BF169" s="7">
        <f t="shared" si="219"/>
        <v>226</v>
      </c>
      <c r="BG169" s="7">
        <f t="shared" si="219"/>
        <v>229</v>
      </c>
      <c r="BH169" s="7">
        <f t="shared" si="219"/>
        <v>228</v>
      </c>
      <c r="BI169" s="7">
        <f t="shared" si="219"/>
        <v>241</v>
      </c>
      <c r="BJ169" s="7">
        <f t="shared" si="219"/>
        <v>271</v>
      </c>
      <c r="BK169" s="7">
        <f t="shared" si="219"/>
        <v>282</v>
      </c>
      <c r="BL169" s="7">
        <f t="shared" si="219"/>
        <v>341</v>
      </c>
      <c r="BM169" s="7">
        <f t="shared" si="219"/>
        <v>365</v>
      </c>
      <c r="BN169" s="7">
        <f t="shared" si="219"/>
        <v>408</v>
      </c>
      <c r="BO169" s="7">
        <f t="shared" si="219"/>
        <v>423</v>
      </c>
      <c r="BP169" s="7">
        <f t="shared" si="219"/>
        <v>461</v>
      </c>
      <c r="BQ169" s="7">
        <f t="shared" ref="BQ169:CY169" si="220">BR46-BQ96</f>
        <v>552</v>
      </c>
      <c r="BR169" s="7">
        <f t="shared" si="220"/>
        <v>549</v>
      </c>
      <c r="BS169" s="7">
        <f t="shared" si="220"/>
        <v>590</v>
      </c>
      <c r="BT169" s="7">
        <f t="shared" si="220"/>
        <v>581</v>
      </c>
      <c r="BU169" s="7">
        <f t="shared" si="220"/>
        <v>771</v>
      </c>
      <c r="BV169" s="7">
        <f t="shared" si="220"/>
        <v>801</v>
      </c>
      <c r="BW169" s="7">
        <f t="shared" si="220"/>
        <v>918</v>
      </c>
      <c r="BX169" s="7">
        <f t="shared" si="220"/>
        <v>1014</v>
      </c>
      <c r="BY169" s="7">
        <f t="shared" si="220"/>
        <v>1051</v>
      </c>
      <c r="BZ169" s="7">
        <f t="shared" si="220"/>
        <v>996</v>
      </c>
      <c r="CA169" s="7">
        <f t="shared" si="220"/>
        <v>965</v>
      </c>
      <c r="CB169" s="7">
        <f t="shared" si="220"/>
        <v>993</v>
      </c>
      <c r="CC169" s="7">
        <f t="shared" si="220"/>
        <v>982</v>
      </c>
      <c r="CD169" s="7">
        <f t="shared" si="220"/>
        <v>1086</v>
      </c>
      <c r="CE169" s="7">
        <f t="shared" si="220"/>
        <v>1152</v>
      </c>
      <c r="CF169" s="7">
        <f t="shared" si="220"/>
        <v>1161</v>
      </c>
      <c r="CG169" s="7">
        <f t="shared" si="220"/>
        <v>1247</v>
      </c>
      <c r="CH169" s="7">
        <f t="shared" si="220"/>
        <v>1265</v>
      </c>
      <c r="CI169" s="7">
        <f t="shared" si="220"/>
        <v>1333</v>
      </c>
      <c r="CJ169" s="7">
        <f t="shared" si="220"/>
        <v>1316</v>
      </c>
      <c r="CK169" s="7">
        <f t="shared" si="220"/>
        <v>1328</v>
      </c>
      <c r="CL169" s="7">
        <f t="shared" si="220"/>
        <v>1435</v>
      </c>
      <c r="CM169" s="7">
        <f t="shared" si="220"/>
        <v>1557</v>
      </c>
      <c r="CN169" s="7">
        <f t="shared" si="220"/>
        <v>1586</v>
      </c>
      <c r="CO169" s="7">
        <f t="shared" si="220"/>
        <v>1402</v>
      </c>
      <c r="CP169" s="7">
        <f t="shared" si="220"/>
        <v>1317</v>
      </c>
      <c r="CQ169" s="7">
        <f t="shared" si="220"/>
        <v>1233</v>
      </c>
      <c r="CR169" s="7">
        <f t="shared" si="220"/>
        <v>1200</v>
      </c>
      <c r="CS169" s="7">
        <f t="shared" si="220"/>
        <v>968</v>
      </c>
      <c r="CT169" s="7">
        <f t="shared" si="220"/>
        <v>830</v>
      </c>
      <c r="CU169" s="7">
        <f t="shared" si="220"/>
        <v>689</v>
      </c>
      <c r="CV169" s="7">
        <f t="shared" si="220"/>
        <v>530</v>
      </c>
      <c r="CW169" s="7">
        <f t="shared" si="220"/>
        <v>379</v>
      </c>
      <c r="CX169" s="7">
        <f t="shared" si="220"/>
        <v>297</v>
      </c>
      <c r="CY169" s="7">
        <f t="shared" si="220"/>
        <v>153</v>
      </c>
      <c r="CZ169" s="8"/>
    </row>
    <row r="170" spans="1:104" x14ac:dyDescent="0.3">
      <c r="A170" s="10">
        <v>2021</v>
      </c>
      <c r="B170" s="8"/>
      <c r="C170" s="7">
        <f t="shared" si="186"/>
        <v>118</v>
      </c>
      <c r="D170" s="7">
        <f t="shared" si="186"/>
        <v>26</v>
      </c>
      <c r="E170" s="7">
        <f t="shared" ref="E170:BP170" si="221">F47-E97</f>
        <v>14</v>
      </c>
      <c r="F170" s="7">
        <f t="shared" si="221"/>
        <v>4</v>
      </c>
      <c r="G170" s="7">
        <f t="shared" si="221"/>
        <v>18</v>
      </c>
      <c r="H170" s="7">
        <f t="shared" si="221"/>
        <v>14</v>
      </c>
      <c r="I170" s="7">
        <f t="shared" si="221"/>
        <v>7</v>
      </c>
      <c r="J170" s="7">
        <f t="shared" si="221"/>
        <v>-4</v>
      </c>
      <c r="K170" s="7">
        <f t="shared" si="221"/>
        <v>26</v>
      </c>
      <c r="L170" s="7">
        <f t="shared" si="221"/>
        <v>-5</v>
      </c>
      <c r="M170" s="7">
        <f t="shared" si="221"/>
        <v>8</v>
      </c>
      <c r="N170" s="7">
        <f t="shared" si="221"/>
        <v>19</v>
      </c>
      <c r="O170" s="7">
        <f t="shared" si="221"/>
        <v>-2</v>
      </c>
      <c r="P170" s="7">
        <f t="shared" si="221"/>
        <v>11</v>
      </c>
      <c r="Q170" s="7">
        <f t="shared" si="221"/>
        <v>16</v>
      </c>
      <c r="R170" s="7">
        <f t="shared" si="221"/>
        <v>1</v>
      </c>
      <c r="S170" s="7">
        <f t="shared" si="221"/>
        <v>30</v>
      </c>
      <c r="T170" s="7">
        <f t="shared" si="221"/>
        <v>-139</v>
      </c>
      <c r="U170" s="7">
        <f t="shared" si="221"/>
        <v>-22</v>
      </c>
      <c r="V170" s="7">
        <f t="shared" si="221"/>
        <v>-12</v>
      </c>
      <c r="W170" s="7">
        <f t="shared" si="221"/>
        <v>11</v>
      </c>
      <c r="X170" s="7">
        <f t="shared" si="221"/>
        <v>201</v>
      </c>
      <c r="Y170" s="7">
        <f t="shared" si="221"/>
        <v>6</v>
      </c>
      <c r="Z170" s="7">
        <f t="shared" si="221"/>
        <v>-32</v>
      </c>
      <c r="AA170" s="7">
        <f t="shared" si="221"/>
        <v>13</v>
      </c>
      <c r="AB170" s="7">
        <f t="shared" si="221"/>
        <v>-73</v>
      </c>
      <c r="AC170" s="7">
        <f t="shared" si="221"/>
        <v>38</v>
      </c>
      <c r="AD170" s="7">
        <f t="shared" si="221"/>
        <v>5</v>
      </c>
      <c r="AE170" s="7">
        <f t="shared" si="221"/>
        <v>15</v>
      </c>
      <c r="AF170" s="7">
        <f t="shared" si="221"/>
        <v>1</v>
      </c>
      <c r="AG170" s="7">
        <f t="shared" si="221"/>
        <v>43</v>
      </c>
      <c r="AH170" s="7">
        <f t="shared" si="221"/>
        <v>22</v>
      </c>
      <c r="AI170" s="7">
        <f t="shared" si="221"/>
        <v>105</v>
      </c>
      <c r="AJ170" s="7">
        <f t="shared" si="221"/>
        <v>70</v>
      </c>
      <c r="AK170" s="7">
        <f t="shared" si="221"/>
        <v>19</v>
      </c>
      <c r="AL170" s="7">
        <f t="shared" si="221"/>
        <v>50</v>
      </c>
      <c r="AM170" s="7">
        <f t="shared" si="221"/>
        <v>19</v>
      </c>
      <c r="AN170" s="7">
        <f t="shared" si="221"/>
        <v>93</v>
      </c>
      <c r="AO170" s="7">
        <f t="shared" si="221"/>
        <v>56</v>
      </c>
      <c r="AP170" s="7">
        <f t="shared" si="221"/>
        <v>23</v>
      </c>
      <c r="AQ170" s="7">
        <f t="shared" si="221"/>
        <v>92</v>
      </c>
      <c r="AR170" s="7">
        <f t="shared" si="221"/>
        <v>69</v>
      </c>
      <c r="AS170" s="7">
        <f t="shared" si="221"/>
        <v>86</v>
      </c>
      <c r="AT170" s="7">
        <f t="shared" si="221"/>
        <v>54</v>
      </c>
      <c r="AU170" s="7">
        <f t="shared" si="221"/>
        <v>68</v>
      </c>
      <c r="AV170" s="7">
        <f t="shared" si="221"/>
        <v>74</v>
      </c>
      <c r="AW170" s="7">
        <f t="shared" si="221"/>
        <v>107</v>
      </c>
      <c r="AX170" s="7">
        <f t="shared" si="221"/>
        <v>112</v>
      </c>
      <c r="AY170" s="7">
        <f t="shared" si="221"/>
        <v>124</v>
      </c>
      <c r="AZ170" s="7">
        <f t="shared" si="221"/>
        <v>115</v>
      </c>
      <c r="BA170" s="7">
        <f t="shared" si="221"/>
        <v>163</v>
      </c>
      <c r="BB170" s="7">
        <f t="shared" si="221"/>
        <v>154</v>
      </c>
      <c r="BC170" s="7">
        <f t="shared" si="221"/>
        <v>134</v>
      </c>
      <c r="BD170" s="7">
        <f t="shared" si="221"/>
        <v>151</v>
      </c>
      <c r="BE170" s="7">
        <f t="shared" si="221"/>
        <v>185</v>
      </c>
      <c r="BF170" s="7">
        <f t="shared" si="221"/>
        <v>235</v>
      </c>
      <c r="BG170" s="7">
        <f t="shared" si="221"/>
        <v>220</v>
      </c>
      <c r="BH170" s="7">
        <f t="shared" si="221"/>
        <v>259</v>
      </c>
      <c r="BI170" s="7">
        <f t="shared" si="221"/>
        <v>259</v>
      </c>
      <c r="BJ170" s="7">
        <f t="shared" si="221"/>
        <v>257</v>
      </c>
      <c r="BK170" s="7">
        <f t="shared" si="221"/>
        <v>299</v>
      </c>
      <c r="BL170" s="7">
        <f t="shared" si="221"/>
        <v>324</v>
      </c>
      <c r="BM170" s="7">
        <f t="shared" si="221"/>
        <v>377</v>
      </c>
      <c r="BN170" s="7">
        <f t="shared" si="221"/>
        <v>414</v>
      </c>
      <c r="BO170" s="7">
        <f t="shared" si="221"/>
        <v>494</v>
      </c>
      <c r="BP170" s="7">
        <f t="shared" si="221"/>
        <v>478</v>
      </c>
      <c r="BQ170" s="7">
        <f t="shared" ref="BQ170:CY170" si="222">BR47-BQ97</f>
        <v>535</v>
      </c>
      <c r="BR170" s="7">
        <f t="shared" si="222"/>
        <v>514</v>
      </c>
      <c r="BS170" s="7">
        <f t="shared" si="222"/>
        <v>608</v>
      </c>
      <c r="BT170" s="7">
        <f t="shared" si="222"/>
        <v>600</v>
      </c>
      <c r="BU170" s="7">
        <f t="shared" si="222"/>
        <v>728</v>
      </c>
      <c r="BV170" s="7">
        <f t="shared" si="222"/>
        <v>812</v>
      </c>
      <c r="BW170" s="7">
        <f t="shared" si="222"/>
        <v>918</v>
      </c>
      <c r="BX170" s="7">
        <f t="shared" si="222"/>
        <v>974</v>
      </c>
      <c r="BY170" s="7">
        <f t="shared" si="222"/>
        <v>1105</v>
      </c>
      <c r="BZ170" s="7">
        <f t="shared" si="222"/>
        <v>1105</v>
      </c>
      <c r="CA170" s="7">
        <f t="shared" si="222"/>
        <v>1154</v>
      </c>
      <c r="CB170" s="7">
        <f t="shared" si="222"/>
        <v>1147</v>
      </c>
      <c r="CC170" s="7">
        <f t="shared" si="222"/>
        <v>1129</v>
      </c>
      <c r="CD170" s="7">
        <f t="shared" si="222"/>
        <v>997</v>
      </c>
      <c r="CE170" s="7">
        <f t="shared" si="222"/>
        <v>1198</v>
      </c>
      <c r="CF170" s="7">
        <f t="shared" si="222"/>
        <v>1271</v>
      </c>
      <c r="CG170" s="7">
        <f t="shared" si="222"/>
        <v>1304</v>
      </c>
      <c r="CH170" s="7">
        <f t="shared" si="222"/>
        <v>1378</v>
      </c>
      <c r="CI170" s="7">
        <f t="shared" si="222"/>
        <v>1335</v>
      </c>
      <c r="CJ170" s="7">
        <f t="shared" si="222"/>
        <v>1355</v>
      </c>
      <c r="CK170" s="7">
        <f t="shared" si="222"/>
        <v>1505</v>
      </c>
      <c r="CL170" s="7">
        <f t="shared" si="222"/>
        <v>1513</v>
      </c>
      <c r="CM170" s="7">
        <f t="shared" si="222"/>
        <v>1613</v>
      </c>
      <c r="CN170" s="7">
        <f t="shared" si="222"/>
        <v>1550</v>
      </c>
      <c r="CO170" s="7">
        <f t="shared" si="222"/>
        <v>1450</v>
      </c>
      <c r="CP170" s="7">
        <f t="shared" si="222"/>
        <v>1349</v>
      </c>
      <c r="CQ170" s="7">
        <f t="shared" si="222"/>
        <v>1301</v>
      </c>
      <c r="CR170" s="7">
        <f t="shared" si="222"/>
        <v>1165</v>
      </c>
      <c r="CS170" s="7">
        <f t="shared" si="222"/>
        <v>972</v>
      </c>
      <c r="CT170" s="7">
        <f t="shared" si="222"/>
        <v>827</v>
      </c>
      <c r="CU170" s="7">
        <f t="shared" si="222"/>
        <v>727</v>
      </c>
      <c r="CV170" s="7">
        <f t="shared" si="222"/>
        <v>525</v>
      </c>
      <c r="CW170" s="7">
        <f t="shared" si="222"/>
        <v>403</v>
      </c>
      <c r="CX170" s="7">
        <f t="shared" si="222"/>
        <v>304</v>
      </c>
      <c r="CY170" s="7">
        <f t="shared" si="222"/>
        <v>208</v>
      </c>
      <c r="CZ170" s="8"/>
    </row>
    <row r="171" spans="1:104" x14ac:dyDescent="0.3">
      <c r="A171" s="10">
        <v>2022</v>
      </c>
      <c r="B171" s="8"/>
      <c r="C171" s="7">
        <f t="shared" si="186"/>
        <v>10</v>
      </c>
      <c r="D171" s="7">
        <f t="shared" si="186"/>
        <v>-21</v>
      </c>
      <c r="E171" s="7">
        <f t="shared" ref="E171:BP171" si="223">F48-E98</f>
        <v>4</v>
      </c>
      <c r="F171" s="7">
        <f t="shared" si="223"/>
        <v>-7</v>
      </c>
      <c r="G171" s="7">
        <f t="shared" si="223"/>
        <v>23</v>
      </c>
      <c r="H171" s="7">
        <f t="shared" si="223"/>
        <v>9</v>
      </c>
      <c r="I171" s="7">
        <f t="shared" si="223"/>
        <v>12</v>
      </c>
      <c r="J171" s="7">
        <f t="shared" si="223"/>
        <v>6</v>
      </c>
      <c r="K171" s="7">
        <f t="shared" si="223"/>
        <v>12</v>
      </c>
      <c r="L171" s="7">
        <f t="shared" si="223"/>
        <v>12</v>
      </c>
      <c r="M171" s="7">
        <f t="shared" si="223"/>
        <v>9</v>
      </c>
      <c r="N171" s="7">
        <f t="shared" si="223"/>
        <v>12</v>
      </c>
      <c r="O171" s="7">
        <f t="shared" si="223"/>
        <v>8</v>
      </c>
      <c r="P171" s="7">
        <f t="shared" si="223"/>
        <v>0</v>
      </c>
      <c r="Q171" s="7">
        <f t="shared" si="223"/>
        <v>3</v>
      </c>
      <c r="R171" s="7">
        <f t="shared" si="223"/>
        <v>16</v>
      </c>
      <c r="S171" s="7">
        <f t="shared" si="223"/>
        <v>27</v>
      </c>
      <c r="T171" s="7">
        <f t="shared" si="223"/>
        <v>1</v>
      </c>
      <c r="U171" s="7">
        <f t="shared" si="223"/>
        <v>8</v>
      </c>
      <c r="V171" s="7">
        <f t="shared" si="223"/>
        <v>24</v>
      </c>
      <c r="W171" s="7">
        <f t="shared" si="223"/>
        <v>34</v>
      </c>
      <c r="X171" s="7">
        <f t="shared" si="223"/>
        <v>24</v>
      </c>
      <c r="Y171" s="7">
        <f t="shared" si="223"/>
        <v>22</v>
      </c>
      <c r="Z171" s="7">
        <f t="shared" si="223"/>
        <v>13</v>
      </c>
      <c r="AA171" s="7">
        <f t="shared" si="223"/>
        <v>6</v>
      </c>
      <c r="AB171" s="7">
        <f t="shared" si="223"/>
        <v>37</v>
      </c>
      <c r="AC171" s="7">
        <f t="shared" si="223"/>
        <v>-2</v>
      </c>
      <c r="AD171" s="7">
        <f t="shared" si="223"/>
        <v>52</v>
      </c>
      <c r="AE171" s="7">
        <f t="shared" si="223"/>
        <v>60</v>
      </c>
      <c r="AF171" s="7">
        <f t="shared" si="223"/>
        <v>2</v>
      </c>
      <c r="AG171" s="7">
        <f t="shared" si="223"/>
        <v>58</v>
      </c>
      <c r="AH171" s="7">
        <f t="shared" si="223"/>
        <v>37</v>
      </c>
      <c r="AI171" s="7">
        <f t="shared" si="223"/>
        <v>60</v>
      </c>
      <c r="AJ171" s="7">
        <f t="shared" si="223"/>
        <v>71</v>
      </c>
      <c r="AK171" s="7">
        <f t="shared" si="223"/>
        <v>29</v>
      </c>
      <c r="AL171" s="7">
        <f t="shared" si="223"/>
        <v>30</v>
      </c>
      <c r="AM171" s="7">
        <f t="shared" si="223"/>
        <v>66</v>
      </c>
      <c r="AN171" s="7">
        <f t="shared" si="223"/>
        <v>37</v>
      </c>
      <c r="AO171" s="7">
        <f t="shared" si="223"/>
        <v>56</v>
      </c>
      <c r="AP171" s="7">
        <f t="shared" si="223"/>
        <v>55</v>
      </c>
      <c r="AQ171" s="7">
        <f t="shared" si="223"/>
        <v>71</v>
      </c>
      <c r="AR171" s="7">
        <f t="shared" si="223"/>
        <v>59</v>
      </c>
      <c r="AS171" s="7">
        <f t="shared" si="223"/>
        <v>70</v>
      </c>
      <c r="AT171" s="7">
        <f t="shared" si="223"/>
        <v>100</v>
      </c>
      <c r="AU171" s="7">
        <f t="shared" si="223"/>
        <v>74</v>
      </c>
      <c r="AV171" s="7">
        <f t="shared" si="223"/>
        <v>95</v>
      </c>
      <c r="AW171" s="7">
        <f t="shared" si="223"/>
        <v>80</v>
      </c>
      <c r="AX171" s="7">
        <f t="shared" si="223"/>
        <v>113</v>
      </c>
      <c r="AY171" s="7">
        <f t="shared" si="223"/>
        <v>116</v>
      </c>
      <c r="AZ171" s="7">
        <f t="shared" si="223"/>
        <v>147</v>
      </c>
      <c r="BA171" s="7">
        <f t="shared" si="223"/>
        <v>167</v>
      </c>
      <c r="BB171" s="7">
        <f t="shared" si="223"/>
        <v>141</v>
      </c>
      <c r="BC171" s="7">
        <f t="shared" si="223"/>
        <v>210</v>
      </c>
      <c r="BD171" s="7">
        <f t="shared" si="223"/>
        <v>200</v>
      </c>
      <c r="BE171" s="7">
        <f t="shared" si="223"/>
        <v>205</v>
      </c>
      <c r="BF171" s="7">
        <f t="shared" si="223"/>
        <v>229</v>
      </c>
      <c r="BG171" s="7">
        <f t="shared" si="223"/>
        <v>224</v>
      </c>
      <c r="BH171" s="7">
        <f t="shared" si="223"/>
        <v>269</v>
      </c>
      <c r="BI171" s="7">
        <f t="shared" si="223"/>
        <v>280</v>
      </c>
      <c r="BJ171" s="7">
        <f t="shared" si="223"/>
        <v>286</v>
      </c>
      <c r="BK171" s="7">
        <f t="shared" si="223"/>
        <v>328</v>
      </c>
      <c r="BL171" s="7">
        <f t="shared" si="223"/>
        <v>332</v>
      </c>
      <c r="BM171" s="7">
        <f t="shared" si="223"/>
        <v>404</v>
      </c>
      <c r="BN171" s="7">
        <f t="shared" si="223"/>
        <v>429</v>
      </c>
      <c r="BO171" s="7">
        <f t="shared" si="223"/>
        <v>435</v>
      </c>
      <c r="BP171" s="7">
        <f t="shared" si="223"/>
        <v>538</v>
      </c>
      <c r="BQ171" s="7">
        <f t="shared" ref="BQ171:CY171" si="224">BR48-BQ98</f>
        <v>555</v>
      </c>
      <c r="BR171" s="7">
        <f t="shared" si="224"/>
        <v>586</v>
      </c>
      <c r="BS171" s="7">
        <f t="shared" si="224"/>
        <v>642</v>
      </c>
      <c r="BT171" s="7">
        <f t="shared" si="224"/>
        <v>715</v>
      </c>
      <c r="BU171" s="7">
        <f t="shared" si="224"/>
        <v>705</v>
      </c>
      <c r="BV171" s="7">
        <f t="shared" si="224"/>
        <v>841</v>
      </c>
      <c r="BW171" s="7">
        <f t="shared" si="224"/>
        <v>898</v>
      </c>
      <c r="BX171" s="7">
        <f t="shared" si="224"/>
        <v>1042</v>
      </c>
      <c r="BY171" s="7">
        <f t="shared" si="224"/>
        <v>1182</v>
      </c>
      <c r="BZ171" s="7">
        <f t="shared" si="224"/>
        <v>1363</v>
      </c>
      <c r="CA171" s="7">
        <f t="shared" si="224"/>
        <v>1304</v>
      </c>
      <c r="CB171" s="7">
        <f t="shared" si="224"/>
        <v>1333</v>
      </c>
      <c r="CC171" s="7">
        <f t="shared" si="224"/>
        <v>1278</v>
      </c>
      <c r="CD171" s="7">
        <f t="shared" si="224"/>
        <v>1247</v>
      </c>
      <c r="CE171" s="7">
        <f t="shared" si="224"/>
        <v>1216</v>
      </c>
      <c r="CF171" s="7">
        <f t="shared" si="224"/>
        <v>1337</v>
      </c>
      <c r="CG171" s="7">
        <f t="shared" si="224"/>
        <v>1450</v>
      </c>
      <c r="CH171" s="7">
        <f t="shared" si="224"/>
        <v>1496</v>
      </c>
      <c r="CI171" s="7">
        <f t="shared" si="224"/>
        <v>1504</v>
      </c>
      <c r="CJ171" s="7">
        <f t="shared" si="224"/>
        <v>1554</v>
      </c>
      <c r="CK171" s="7">
        <f t="shared" si="224"/>
        <v>1491</v>
      </c>
      <c r="CL171" s="7">
        <f t="shared" si="224"/>
        <v>1605</v>
      </c>
      <c r="CM171" s="7">
        <f t="shared" si="224"/>
        <v>1632</v>
      </c>
      <c r="CN171" s="7">
        <f t="shared" si="224"/>
        <v>1696</v>
      </c>
      <c r="CO171" s="7">
        <f t="shared" si="224"/>
        <v>1580</v>
      </c>
      <c r="CP171" s="7">
        <f t="shared" si="224"/>
        <v>1618</v>
      </c>
      <c r="CQ171" s="7">
        <f t="shared" si="224"/>
        <v>1385</v>
      </c>
      <c r="CR171" s="7">
        <f t="shared" si="224"/>
        <v>1280</v>
      </c>
      <c r="CS171" s="7">
        <f t="shared" si="224"/>
        <v>1115</v>
      </c>
      <c r="CT171" s="7">
        <f t="shared" si="224"/>
        <v>979</v>
      </c>
      <c r="CU171" s="7">
        <f t="shared" si="224"/>
        <v>789</v>
      </c>
      <c r="CV171" s="7">
        <f t="shared" si="224"/>
        <v>604</v>
      </c>
      <c r="CW171" s="7">
        <f t="shared" si="224"/>
        <v>448</v>
      </c>
      <c r="CX171" s="7">
        <f t="shared" si="224"/>
        <v>282</v>
      </c>
      <c r="CY171" s="7">
        <f t="shared" si="224"/>
        <v>217</v>
      </c>
      <c r="CZ171" s="8"/>
    </row>
    <row r="172" spans="1:104" x14ac:dyDescent="0.3">
      <c r="A172" s="8"/>
      <c r="B172" s="8" t="s">
        <v>22</v>
      </c>
      <c r="C172" s="8">
        <f t="shared" ref="C172:D172" si="225">AVERAGE(C152:C171)</f>
        <v>68.95</v>
      </c>
      <c r="D172" s="8">
        <f t="shared" si="225"/>
        <v>10.15</v>
      </c>
      <c r="E172" s="8">
        <f t="shared" ref="E172" si="226">AVERAGE(E152:E171)</f>
        <v>3.8</v>
      </c>
      <c r="F172" s="8">
        <f t="shared" ref="F172" si="227">AVERAGE(F152:F171)</f>
        <v>8.0500000000000007</v>
      </c>
      <c r="G172" s="8">
        <f t="shared" ref="G172" si="228">AVERAGE(G152:G171)</f>
        <v>12.9</v>
      </c>
      <c r="H172" s="8">
        <f t="shared" ref="H172" si="229">AVERAGE(H152:H171)</f>
        <v>7.85</v>
      </c>
      <c r="I172" s="8">
        <f t="shared" ref="I172" si="230">AVERAGE(I152:I171)</f>
        <v>6.2</v>
      </c>
      <c r="J172" s="8">
        <f t="shared" ref="J172" si="231">AVERAGE(J152:J171)</f>
        <v>8.1999999999999993</v>
      </c>
      <c r="K172" s="8">
        <f t="shared" ref="K172" si="232">AVERAGE(K152:K171)</f>
        <v>6.5</v>
      </c>
      <c r="L172" s="8">
        <f t="shared" ref="L172" si="233">AVERAGE(L152:L171)</f>
        <v>6.25</v>
      </c>
      <c r="M172" s="8">
        <f t="shared" ref="M172" si="234">AVERAGE(M152:M171)</f>
        <v>6.35</v>
      </c>
      <c r="N172" s="8">
        <f t="shared" ref="N172" si="235">AVERAGE(N152:N171)</f>
        <v>6.85</v>
      </c>
      <c r="O172" s="8">
        <f t="shared" ref="O172" si="236">AVERAGE(O152:O171)</f>
        <v>5.45</v>
      </c>
      <c r="P172" s="8">
        <f t="shared" ref="P172" si="237">AVERAGE(P152:P171)</f>
        <v>7.1</v>
      </c>
      <c r="Q172" s="8">
        <f t="shared" ref="Q172" si="238">AVERAGE(Q152:Q171)</f>
        <v>13</v>
      </c>
      <c r="R172" s="8">
        <f t="shared" ref="R172" si="239">AVERAGE(R152:R171)</f>
        <v>10.55</v>
      </c>
      <c r="S172" s="8">
        <f t="shared" ref="S172" si="240">AVERAGE(S152:S171)</f>
        <v>8.85</v>
      </c>
      <c r="T172" s="8">
        <f t="shared" ref="T172" si="241">AVERAGE(T152:T171)</f>
        <v>-6.8</v>
      </c>
      <c r="U172" s="8">
        <f t="shared" ref="U172" si="242">AVERAGE(U152:U171)</f>
        <v>10.75</v>
      </c>
      <c r="V172" s="8">
        <f t="shared" ref="V172" si="243">AVERAGE(V152:V171)</f>
        <v>23.5</v>
      </c>
      <c r="W172" s="8">
        <f t="shared" ref="W172" si="244">AVERAGE(W152:W171)</f>
        <v>5.4</v>
      </c>
      <c r="X172" s="8">
        <f t="shared" ref="X172" si="245">AVERAGE(X152:X171)</f>
        <v>17.05</v>
      </c>
      <c r="Y172" s="8">
        <f t="shared" ref="Y172" si="246">AVERAGE(Y152:Y171)</f>
        <v>13.35</v>
      </c>
      <c r="Z172" s="8">
        <f t="shared" ref="Z172" si="247">AVERAGE(Z152:Z171)</f>
        <v>10.050000000000001</v>
      </c>
      <c r="AA172" s="8">
        <f t="shared" ref="AA172" si="248">AVERAGE(AA152:AA171)</f>
        <v>15.55</v>
      </c>
      <c r="AB172" s="8">
        <f t="shared" ref="AB172" si="249">AVERAGE(AB152:AB171)</f>
        <v>21.15</v>
      </c>
      <c r="AC172" s="8">
        <f t="shared" ref="AC172" si="250">AVERAGE(AC152:AC171)</f>
        <v>26.5</v>
      </c>
      <c r="AD172" s="8">
        <f t="shared" ref="AD172" si="251">AVERAGE(AD152:AD171)</f>
        <v>34.299999999999997</v>
      </c>
      <c r="AE172" s="8">
        <f t="shared" ref="AE172" si="252">AVERAGE(AE152:AE171)</f>
        <v>36.6</v>
      </c>
      <c r="AF172" s="8">
        <f t="shared" ref="AF172" si="253">AVERAGE(AF152:AF171)</f>
        <v>34.299999999999997</v>
      </c>
      <c r="AG172" s="8">
        <f t="shared" ref="AG172" si="254">AVERAGE(AG152:AG171)</f>
        <v>41.45</v>
      </c>
      <c r="AH172" s="8">
        <f t="shared" ref="AH172" si="255">AVERAGE(AH152:AH171)</f>
        <v>62.35</v>
      </c>
      <c r="AI172" s="8">
        <f t="shared" ref="AI172" si="256">AVERAGE(AI152:AI171)</f>
        <v>64.75</v>
      </c>
      <c r="AJ172" s="8">
        <f t="shared" ref="AJ172" si="257">AVERAGE(AJ152:AJ171)</f>
        <v>48.15</v>
      </c>
      <c r="AK172" s="8">
        <f t="shared" ref="AK172" si="258">AVERAGE(AK152:AK171)</f>
        <v>52.35</v>
      </c>
      <c r="AL172" s="15">
        <f t="shared" ref="AL172" si="259">AVERAGE(AL152:AL171)</f>
        <v>54.45</v>
      </c>
      <c r="AM172" s="8">
        <f t="shared" ref="AM172" si="260">AVERAGE(AM152:AM171)</f>
        <v>54.25</v>
      </c>
      <c r="AN172" s="8">
        <f t="shared" ref="AN172" si="261">AVERAGE(AN152:AN171)</f>
        <v>60.4</v>
      </c>
      <c r="AO172" s="8">
        <f t="shared" ref="AO172" si="262">AVERAGE(AO152:AO171)</f>
        <v>64.650000000000006</v>
      </c>
      <c r="AP172" s="8">
        <f t="shared" ref="AP172" si="263">AVERAGE(AP152:AP171)</f>
        <v>63.05</v>
      </c>
      <c r="AQ172" s="8">
        <f t="shared" ref="AQ172" si="264">AVERAGE(AQ152:AQ171)</f>
        <v>70.150000000000006</v>
      </c>
      <c r="AR172" s="8">
        <f t="shared" ref="AR172" si="265">AVERAGE(AR152:AR171)</f>
        <v>69.599999999999994</v>
      </c>
      <c r="AS172" s="8">
        <f t="shared" ref="AS172" si="266">AVERAGE(AS152:AS171)</f>
        <v>85</v>
      </c>
      <c r="AT172" s="8">
        <f t="shared" ref="AT172" si="267">AVERAGE(AT152:AT171)</f>
        <v>84.05</v>
      </c>
      <c r="AU172" s="8">
        <f t="shared" ref="AU172" si="268">AVERAGE(AU152:AU171)</f>
        <v>91.85</v>
      </c>
      <c r="AV172" s="8">
        <f t="shared" ref="AV172" si="269">AVERAGE(AV152:AV171)</f>
        <v>100.55</v>
      </c>
      <c r="AW172" s="8">
        <f t="shared" ref="AW172" si="270">AVERAGE(AW152:AW171)</f>
        <v>109.7</v>
      </c>
      <c r="AX172" s="8">
        <f t="shared" ref="AX172" si="271">AVERAGE(AX152:AX171)</f>
        <v>117.3</v>
      </c>
      <c r="AY172" s="8">
        <f>AVERAGE(AY152:AY171)</f>
        <v>139.1</v>
      </c>
      <c r="AZ172" s="8">
        <f t="shared" ref="AZ172" si="272">AVERAGE(AZ152:AZ171)</f>
        <v>143.9</v>
      </c>
      <c r="BA172" s="8">
        <f t="shared" ref="BA172" si="273">AVERAGE(BA152:BA171)</f>
        <v>160.30000000000001</v>
      </c>
      <c r="BB172" s="8">
        <f t="shared" ref="BB172" si="274">AVERAGE(BB152:BB171)</f>
        <v>170.3</v>
      </c>
      <c r="BC172" s="8">
        <f t="shared" ref="BC172" si="275">AVERAGE(BC152:BC171)</f>
        <v>186.15</v>
      </c>
      <c r="BD172" s="8">
        <f t="shared" ref="BD172" si="276">AVERAGE(BD152:BD171)</f>
        <v>204</v>
      </c>
      <c r="BE172" s="8">
        <f t="shared" ref="BE172" si="277">AVERAGE(BE152:BE171)</f>
        <v>220.95</v>
      </c>
      <c r="BF172" s="8">
        <f t="shared" ref="BF172" si="278">AVERAGE(BF152:BF171)</f>
        <v>243.25</v>
      </c>
      <c r="BG172" s="8">
        <f t="shared" ref="BG172" si="279">AVERAGE(BG152:BG171)</f>
        <v>259.3</v>
      </c>
      <c r="BH172" s="8">
        <f t="shared" ref="BH172" si="280">AVERAGE(BH152:BH171)</f>
        <v>280.5</v>
      </c>
      <c r="BI172" s="8">
        <f t="shared" ref="BI172" si="281">AVERAGE(BI152:BI171)</f>
        <v>302.95</v>
      </c>
      <c r="BJ172" s="8">
        <f t="shared" ref="BJ172" si="282">AVERAGE(BJ152:BJ171)</f>
        <v>335.25</v>
      </c>
      <c r="BK172" s="8">
        <f t="shared" ref="BK172" si="283">AVERAGE(BK152:BK171)</f>
        <v>349.6</v>
      </c>
      <c r="BL172" s="8">
        <f t="shared" ref="BL172" si="284">AVERAGE(BL152:BL171)</f>
        <v>381.4</v>
      </c>
      <c r="BM172" s="8">
        <f t="shared" ref="BM172" si="285">AVERAGE(BM152:BM171)</f>
        <v>412.35</v>
      </c>
      <c r="BN172" s="8">
        <f t="shared" ref="BN172" si="286">AVERAGE(BN152:BN171)</f>
        <v>431.35</v>
      </c>
      <c r="BO172" s="8">
        <f t="shared" ref="BO172" si="287">AVERAGE(BO152:BO171)</f>
        <v>465.2</v>
      </c>
      <c r="BP172" s="8">
        <f t="shared" ref="BP172" si="288">AVERAGE(BP152:BP171)</f>
        <v>492.3</v>
      </c>
      <c r="BQ172" s="8">
        <f t="shared" ref="BQ172" si="289">AVERAGE(BQ152:BQ171)</f>
        <v>531.95000000000005</v>
      </c>
      <c r="BR172" s="8">
        <f t="shared" ref="BR172" si="290">AVERAGE(BR152:BR171)</f>
        <v>549.75</v>
      </c>
      <c r="BS172" s="8">
        <f t="shared" ref="BS172" si="291">AVERAGE(BS152:BS171)</f>
        <v>591.9</v>
      </c>
      <c r="BT172" s="8">
        <f t="shared" ref="BT172" si="292">AVERAGE(BT152:BT171)</f>
        <v>606</v>
      </c>
      <c r="BU172" s="8">
        <f t="shared" ref="BU172" si="293">AVERAGE(BU152:BU171)</f>
        <v>652.6</v>
      </c>
      <c r="BV172" s="8">
        <f t="shared" ref="BV172" si="294">AVERAGE(BV152:BV171)</f>
        <v>707</v>
      </c>
      <c r="BW172" s="8">
        <f t="shared" ref="BW172" si="295">AVERAGE(BW152:BW171)</f>
        <v>747.7</v>
      </c>
      <c r="BX172" s="8">
        <f t="shared" ref="BX172" si="296">AVERAGE(BX152:BX171)</f>
        <v>799.9</v>
      </c>
      <c r="BY172" s="8">
        <f t="shared" ref="BY172" si="297">AVERAGE(BY152:BY171)</f>
        <v>848.15</v>
      </c>
      <c r="BZ172" s="8">
        <f t="shared" ref="BZ172" si="298">AVERAGE(BZ152:BZ171)</f>
        <v>902.45</v>
      </c>
      <c r="CA172" s="8">
        <f t="shared" ref="CA172" si="299">AVERAGE(CA152:CA171)</f>
        <v>950.6</v>
      </c>
      <c r="CB172" s="8">
        <f t="shared" ref="CB172" si="300">AVERAGE(CB152:CB171)</f>
        <v>1019.7</v>
      </c>
      <c r="CC172" s="8">
        <f t="shared" ref="CC172" si="301">AVERAGE(CC152:CC171)</f>
        <v>1086.45</v>
      </c>
      <c r="CD172" s="8">
        <f t="shared" ref="CD172" si="302">AVERAGE(CD152:CD171)</f>
        <v>1158.2</v>
      </c>
      <c r="CE172" s="8">
        <f t="shared" ref="CE172" si="303">AVERAGE(CE152:CE171)</f>
        <v>1253.4000000000001</v>
      </c>
      <c r="CF172" s="8">
        <f t="shared" ref="CF172" si="304">AVERAGE(CF152:CF171)</f>
        <v>1330.2</v>
      </c>
      <c r="CG172" s="8">
        <f t="shared" ref="CG172" si="305">AVERAGE(CG152:CG171)</f>
        <v>1437.65</v>
      </c>
      <c r="CH172" s="8">
        <f t="shared" ref="CH172" si="306">AVERAGE(CH152:CH171)</f>
        <v>1497.35</v>
      </c>
      <c r="CI172" s="8">
        <f t="shared" ref="CI172" si="307">AVERAGE(CI152:CI171)</f>
        <v>1552.65</v>
      </c>
      <c r="CJ172" s="8">
        <f t="shared" ref="CJ172" si="308">AVERAGE(CJ152:CJ171)</f>
        <v>1597.1</v>
      </c>
      <c r="CK172" s="8">
        <f t="shared" ref="CK172" si="309">AVERAGE(CK152:CK171)</f>
        <v>1627.25</v>
      </c>
      <c r="CL172" s="8">
        <f t="shared" ref="CL172" si="310">AVERAGE(CL152:CL171)</f>
        <v>1620.3</v>
      </c>
      <c r="CM172" s="8">
        <f t="shared" ref="CM172" si="311">AVERAGE(CM152:CM171)</f>
        <v>1588.75</v>
      </c>
      <c r="CN172" s="8">
        <f t="shared" ref="CN172" si="312">AVERAGE(CN152:CN171)</f>
        <v>1564.75</v>
      </c>
      <c r="CO172" s="8">
        <f t="shared" ref="CO172" si="313">AVERAGE(CO152:CO171)</f>
        <v>1452.15</v>
      </c>
      <c r="CP172" s="8">
        <f t="shared" ref="CP172" si="314">AVERAGE(CP152:CP171)</f>
        <v>1337.45</v>
      </c>
      <c r="CQ172" s="8">
        <f t="shared" ref="CQ172" si="315">AVERAGE(CQ152:CQ171)</f>
        <v>1174.95</v>
      </c>
      <c r="CR172" s="8">
        <f t="shared" ref="CR172" si="316">AVERAGE(CR152:CR171)</f>
        <v>1026.75</v>
      </c>
      <c r="CS172" s="8">
        <f t="shared" ref="CS172" si="317">AVERAGE(CS152:CS171)</f>
        <v>847.85</v>
      </c>
      <c r="CT172" s="8">
        <f t="shared" ref="CT172" si="318">AVERAGE(CT152:CT171)</f>
        <v>695.4</v>
      </c>
      <c r="CU172" s="8">
        <f t="shared" ref="CU172" si="319">AVERAGE(CU152:CU171)</f>
        <v>539.70000000000005</v>
      </c>
      <c r="CV172" s="8">
        <f t="shared" ref="CV172" si="320">AVERAGE(CV152:CV171)</f>
        <v>400.45</v>
      </c>
      <c r="CW172" s="8">
        <f t="shared" ref="CW172" si="321">AVERAGE(CW152:CW171)</f>
        <v>274.10000000000002</v>
      </c>
      <c r="CX172" s="8">
        <f t="shared" ref="CX172" si="322">AVERAGE(CX152:CX171)</f>
        <v>195.1</v>
      </c>
      <c r="CY172" s="8">
        <f t="shared" ref="CY172" si="323">AVERAGE(CY152:CY171)</f>
        <v>127.95</v>
      </c>
    </row>
    <row r="173" spans="1:104" s="8" customFormat="1" x14ac:dyDescent="0.3">
      <c r="B173" s="8" t="s">
        <v>23</v>
      </c>
      <c r="C173" s="15">
        <f t="shared" ref="C173" si="324">MEDIAN(C152:C171)</f>
        <v>42</v>
      </c>
      <c r="D173" s="15">
        <f t="shared" ref="D173:BO173" si="325">MEDIAN(D152:D171)</f>
        <v>11.5</v>
      </c>
      <c r="E173" s="15">
        <f t="shared" si="325"/>
        <v>6</v>
      </c>
      <c r="F173" s="15">
        <f t="shared" si="325"/>
        <v>6</v>
      </c>
      <c r="G173" s="15">
        <f t="shared" si="325"/>
        <v>13</v>
      </c>
      <c r="H173" s="15">
        <f t="shared" si="325"/>
        <v>10</v>
      </c>
      <c r="I173" s="15">
        <f t="shared" si="325"/>
        <v>5.5</v>
      </c>
      <c r="J173" s="15">
        <f t="shared" si="325"/>
        <v>8</v>
      </c>
      <c r="K173" s="15">
        <f t="shared" si="325"/>
        <v>6</v>
      </c>
      <c r="L173" s="15">
        <f t="shared" si="325"/>
        <v>6</v>
      </c>
      <c r="M173" s="15">
        <f t="shared" si="325"/>
        <v>6.5</v>
      </c>
      <c r="N173" s="15">
        <f t="shared" si="325"/>
        <v>5.5</v>
      </c>
      <c r="O173" s="15">
        <f t="shared" si="325"/>
        <v>3</v>
      </c>
      <c r="P173" s="15">
        <f t="shared" si="325"/>
        <v>9.5</v>
      </c>
      <c r="Q173" s="15">
        <f t="shared" si="325"/>
        <v>13</v>
      </c>
      <c r="R173" s="15">
        <f t="shared" si="325"/>
        <v>10</v>
      </c>
      <c r="S173" s="15">
        <f t="shared" si="325"/>
        <v>9</v>
      </c>
      <c r="T173" s="15">
        <f t="shared" si="325"/>
        <v>5</v>
      </c>
      <c r="U173" s="15">
        <f t="shared" si="325"/>
        <v>11.5</v>
      </c>
      <c r="V173" s="15">
        <f t="shared" si="325"/>
        <v>17</v>
      </c>
      <c r="W173" s="15">
        <f t="shared" si="325"/>
        <v>11</v>
      </c>
      <c r="X173" s="15">
        <f t="shared" si="325"/>
        <v>12.5</v>
      </c>
      <c r="Y173" s="15">
        <f t="shared" si="325"/>
        <v>17</v>
      </c>
      <c r="Z173" s="15">
        <f t="shared" si="325"/>
        <v>11</v>
      </c>
      <c r="AA173" s="15">
        <f t="shared" si="325"/>
        <v>13.5</v>
      </c>
      <c r="AB173" s="15">
        <f t="shared" si="325"/>
        <v>22</v>
      </c>
      <c r="AC173" s="15">
        <f t="shared" si="325"/>
        <v>28</v>
      </c>
      <c r="AD173" s="15">
        <f t="shared" si="325"/>
        <v>37.5</v>
      </c>
      <c r="AE173" s="15">
        <f t="shared" si="325"/>
        <v>31.5</v>
      </c>
      <c r="AF173" s="15">
        <f t="shared" si="325"/>
        <v>33</v>
      </c>
      <c r="AG173" s="15">
        <f t="shared" si="325"/>
        <v>38</v>
      </c>
      <c r="AH173" s="15">
        <f t="shared" si="325"/>
        <v>65</v>
      </c>
      <c r="AI173" s="15">
        <f t="shared" si="325"/>
        <v>61</v>
      </c>
      <c r="AJ173" s="15">
        <f t="shared" si="325"/>
        <v>47</v>
      </c>
      <c r="AK173" s="15">
        <f t="shared" si="325"/>
        <v>54.5</v>
      </c>
      <c r="AL173" s="15">
        <f t="shared" si="325"/>
        <v>51</v>
      </c>
      <c r="AM173" s="15">
        <f t="shared" si="325"/>
        <v>57</v>
      </c>
      <c r="AN173" s="15">
        <f t="shared" si="325"/>
        <v>62</v>
      </c>
      <c r="AO173" s="15">
        <f t="shared" si="325"/>
        <v>59.5</v>
      </c>
      <c r="AP173" s="15">
        <f t="shared" si="325"/>
        <v>62.5</v>
      </c>
      <c r="AQ173" s="15">
        <f t="shared" si="325"/>
        <v>69</v>
      </c>
      <c r="AR173" s="15">
        <f t="shared" si="325"/>
        <v>71</v>
      </c>
      <c r="AS173" s="15">
        <f t="shared" si="325"/>
        <v>84</v>
      </c>
      <c r="AT173" s="15">
        <f t="shared" si="325"/>
        <v>86.5</v>
      </c>
      <c r="AU173" s="15">
        <f t="shared" si="325"/>
        <v>93.5</v>
      </c>
      <c r="AV173" s="15">
        <f t="shared" si="325"/>
        <v>100.5</v>
      </c>
      <c r="AW173" s="15">
        <f t="shared" si="325"/>
        <v>108.5</v>
      </c>
      <c r="AX173" s="15">
        <f t="shared" si="325"/>
        <v>118</v>
      </c>
      <c r="AY173" s="15">
        <f t="shared" si="325"/>
        <v>143.5</v>
      </c>
      <c r="AZ173" s="15">
        <f t="shared" si="325"/>
        <v>143.5</v>
      </c>
      <c r="BA173" s="15">
        <f t="shared" si="325"/>
        <v>163.5</v>
      </c>
      <c r="BB173" s="15">
        <f t="shared" si="325"/>
        <v>173.5</v>
      </c>
      <c r="BC173" s="15">
        <f t="shared" si="325"/>
        <v>192.5</v>
      </c>
      <c r="BD173" s="15">
        <f t="shared" si="325"/>
        <v>203</v>
      </c>
      <c r="BE173" s="15">
        <f t="shared" si="325"/>
        <v>225</v>
      </c>
      <c r="BF173" s="15">
        <f t="shared" si="325"/>
        <v>246.5</v>
      </c>
      <c r="BG173" s="15">
        <f t="shared" si="325"/>
        <v>247.5</v>
      </c>
      <c r="BH173" s="15">
        <f t="shared" si="325"/>
        <v>271.5</v>
      </c>
      <c r="BI173" s="15">
        <f t="shared" si="325"/>
        <v>312.5</v>
      </c>
      <c r="BJ173" s="15">
        <f t="shared" si="325"/>
        <v>338.5</v>
      </c>
      <c r="BK173" s="15">
        <f t="shared" si="325"/>
        <v>351.5</v>
      </c>
      <c r="BL173" s="15">
        <f t="shared" si="325"/>
        <v>375.5</v>
      </c>
      <c r="BM173" s="15">
        <f t="shared" si="325"/>
        <v>404.5</v>
      </c>
      <c r="BN173" s="15">
        <f t="shared" si="325"/>
        <v>425.5</v>
      </c>
      <c r="BO173" s="15">
        <f t="shared" si="325"/>
        <v>458.5</v>
      </c>
      <c r="BP173" s="15">
        <f t="shared" ref="BP173:CY173" si="326">MEDIAN(BP152:BP171)</f>
        <v>487</v>
      </c>
      <c r="BQ173" s="15">
        <f t="shared" si="326"/>
        <v>534.5</v>
      </c>
      <c r="BR173" s="15">
        <f t="shared" si="326"/>
        <v>541</v>
      </c>
      <c r="BS173" s="15">
        <f t="shared" si="326"/>
        <v>586</v>
      </c>
      <c r="BT173" s="15">
        <f t="shared" si="326"/>
        <v>577</v>
      </c>
      <c r="BU173" s="15">
        <f t="shared" si="326"/>
        <v>630.5</v>
      </c>
      <c r="BV173" s="15">
        <f t="shared" si="326"/>
        <v>690</v>
      </c>
      <c r="BW173" s="15">
        <f t="shared" si="326"/>
        <v>705.5</v>
      </c>
      <c r="BX173" s="15">
        <f t="shared" si="326"/>
        <v>749.5</v>
      </c>
      <c r="BY173" s="15">
        <f t="shared" si="326"/>
        <v>824.5</v>
      </c>
      <c r="BZ173" s="15">
        <f t="shared" si="326"/>
        <v>863</v>
      </c>
      <c r="CA173" s="15">
        <f t="shared" si="326"/>
        <v>918.5</v>
      </c>
      <c r="CB173" s="15">
        <f t="shared" si="326"/>
        <v>994.5</v>
      </c>
      <c r="CC173" s="15">
        <f t="shared" si="326"/>
        <v>1070</v>
      </c>
      <c r="CD173" s="15">
        <f t="shared" si="326"/>
        <v>1124.5</v>
      </c>
      <c r="CE173" s="15">
        <f t="shared" si="326"/>
        <v>1214</v>
      </c>
      <c r="CF173" s="15">
        <f t="shared" si="326"/>
        <v>1310.5</v>
      </c>
      <c r="CG173" s="15">
        <f t="shared" si="326"/>
        <v>1402.5</v>
      </c>
      <c r="CH173" s="15">
        <f t="shared" si="326"/>
        <v>1490.5</v>
      </c>
      <c r="CI173" s="15">
        <f t="shared" si="326"/>
        <v>1534.5</v>
      </c>
      <c r="CJ173" s="15">
        <f t="shared" si="326"/>
        <v>1576</v>
      </c>
      <c r="CK173" s="15">
        <f t="shared" si="326"/>
        <v>1619</v>
      </c>
      <c r="CL173" s="15">
        <f t="shared" si="326"/>
        <v>1610</v>
      </c>
      <c r="CM173" s="15">
        <f t="shared" si="326"/>
        <v>1586</v>
      </c>
      <c r="CN173" s="15">
        <f t="shared" si="326"/>
        <v>1551</v>
      </c>
      <c r="CO173" s="15">
        <f t="shared" si="326"/>
        <v>1441.5</v>
      </c>
      <c r="CP173" s="15">
        <f t="shared" si="326"/>
        <v>1335.5</v>
      </c>
      <c r="CQ173" s="15">
        <f t="shared" si="326"/>
        <v>1205.5</v>
      </c>
      <c r="CR173" s="15">
        <f t="shared" si="326"/>
        <v>1048.5</v>
      </c>
      <c r="CS173" s="15">
        <f t="shared" si="326"/>
        <v>846.5</v>
      </c>
      <c r="CT173" s="15">
        <f t="shared" si="326"/>
        <v>686.5</v>
      </c>
      <c r="CU173" s="15">
        <f t="shared" si="326"/>
        <v>517</v>
      </c>
      <c r="CV173" s="15">
        <f t="shared" si="326"/>
        <v>394.5</v>
      </c>
      <c r="CW173" s="15">
        <f t="shared" si="326"/>
        <v>256.5</v>
      </c>
      <c r="CX173" s="15">
        <f t="shared" si="326"/>
        <v>190</v>
      </c>
      <c r="CY173" s="15">
        <f t="shared" si="326"/>
        <v>127.5</v>
      </c>
    </row>
    <row r="175" spans="1:104" x14ac:dyDescent="0.3">
      <c r="A175" t="s">
        <v>28</v>
      </c>
    </row>
    <row r="176" spans="1:104" x14ac:dyDescent="0.3">
      <c r="A176" s="10">
        <v>2003</v>
      </c>
      <c r="C176" s="7">
        <f>C128/C29</f>
        <v>3.9822485207100593</v>
      </c>
      <c r="D176" s="7">
        <f t="shared" ref="D176:BO176" si="327">D128/D29</f>
        <v>10.058823529411764</v>
      </c>
      <c r="E176" s="7">
        <f t="shared" si="327"/>
        <v>6</v>
      </c>
      <c r="F176" s="7">
        <f t="shared" si="327"/>
        <v>34.5</v>
      </c>
      <c r="G176" s="7">
        <f t="shared" si="327"/>
        <v>12.5</v>
      </c>
      <c r="H176" s="7">
        <f t="shared" si="327"/>
        <v>19.899999999999999</v>
      </c>
      <c r="I176" s="7">
        <f t="shared" si="327"/>
        <v>19.454545454545453</v>
      </c>
      <c r="J176" s="7">
        <f t="shared" si="327"/>
        <v>18.09090909090909</v>
      </c>
      <c r="K176" s="7">
        <f t="shared" si="327"/>
        <v>41.4</v>
      </c>
      <c r="L176" s="7">
        <f t="shared" si="327"/>
        <v>44</v>
      </c>
      <c r="M176" s="7">
        <f t="shared" si="327"/>
        <v>32.428571428571431</v>
      </c>
      <c r="N176" s="7">
        <f t="shared" si="327"/>
        <v>27.571428571428573</v>
      </c>
      <c r="O176" s="7">
        <f t="shared" si="327"/>
        <v>19.100000000000001</v>
      </c>
      <c r="P176" s="7">
        <f t="shared" si="327"/>
        <v>22.636363636363637</v>
      </c>
      <c r="Q176" s="7">
        <f t="shared" si="327"/>
        <v>20.09090909090909</v>
      </c>
      <c r="R176" s="7">
        <f t="shared" si="327"/>
        <v>17.9375</v>
      </c>
      <c r="S176" s="7">
        <f t="shared" si="327"/>
        <v>18.888888888888889</v>
      </c>
      <c r="T176" s="7">
        <f t="shared" si="327"/>
        <v>19.142857142857142</v>
      </c>
      <c r="U176" s="7">
        <f t="shared" si="327"/>
        <v>15.888888888888889</v>
      </c>
      <c r="V176" s="7">
        <f t="shared" si="327"/>
        <v>8.4390243902439028</v>
      </c>
      <c r="W176" s="7">
        <f t="shared" si="327"/>
        <v>12</v>
      </c>
      <c r="X176" s="7">
        <f t="shared" si="327"/>
        <v>12.538461538461538</v>
      </c>
      <c r="Y176" s="7">
        <f t="shared" si="327"/>
        <v>12.628571428571428</v>
      </c>
      <c r="Z176" s="7">
        <f t="shared" si="327"/>
        <v>14.7</v>
      </c>
      <c r="AA176" s="7">
        <f t="shared" si="327"/>
        <v>14.484848484848484</v>
      </c>
      <c r="AB176" s="7">
        <f t="shared" si="327"/>
        <v>13.625</v>
      </c>
      <c r="AC176" s="7">
        <f t="shared" si="327"/>
        <v>9.1190476190476186</v>
      </c>
      <c r="AD176" s="7">
        <f t="shared" si="327"/>
        <v>12.594594594594595</v>
      </c>
      <c r="AE176" s="7">
        <f t="shared" si="327"/>
        <v>7.1632653061224492</v>
      </c>
      <c r="AF176" s="7">
        <f t="shared" si="327"/>
        <v>8.5526315789473681</v>
      </c>
      <c r="AG176" s="7">
        <f t="shared" si="327"/>
        <v>5.9318181818181817</v>
      </c>
      <c r="AH176" s="7">
        <f t="shared" si="327"/>
        <v>4.5999999999999996</v>
      </c>
      <c r="AI176" s="7">
        <f t="shared" si="327"/>
        <v>3.3114754098360657</v>
      </c>
      <c r="AJ176" s="7">
        <f t="shared" si="327"/>
        <v>5</v>
      </c>
      <c r="AK176" s="7">
        <f t="shared" si="327"/>
        <v>2.6969696969696968</v>
      </c>
      <c r="AL176" s="7">
        <f t="shared" si="327"/>
        <v>2.5166666666666666</v>
      </c>
      <c r="AM176" s="7">
        <f t="shared" si="327"/>
        <v>3.42</v>
      </c>
      <c r="AN176" s="7">
        <f t="shared" si="327"/>
        <v>3.2096774193548385</v>
      </c>
      <c r="AO176" s="7">
        <f t="shared" si="327"/>
        <v>2.0140845070422535</v>
      </c>
      <c r="AP176" s="7">
        <f t="shared" si="327"/>
        <v>1.161764705882353</v>
      </c>
      <c r="AQ176" s="7">
        <f t="shared" si="327"/>
        <v>1.3209876543209877</v>
      </c>
      <c r="AR176" s="7">
        <f t="shared" si="327"/>
        <v>0.96296296296296291</v>
      </c>
      <c r="AS176" s="7">
        <f t="shared" si="327"/>
        <v>0.91463414634146345</v>
      </c>
      <c r="AT176" s="7">
        <f t="shared" si="327"/>
        <v>1</v>
      </c>
      <c r="AU176" s="7">
        <f t="shared" si="327"/>
        <v>9.3457943925233641E-2</v>
      </c>
      <c r="AV176" s="7">
        <f t="shared" si="327"/>
        <v>0.25833333333333336</v>
      </c>
      <c r="AW176" s="7">
        <f t="shared" si="327"/>
        <v>0.48571428571428571</v>
      </c>
      <c r="AX176" s="7">
        <f t="shared" si="327"/>
        <v>0.28358208955223879</v>
      </c>
      <c r="AY176" s="7">
        <f t="shared" si="327"/>
        <v>0.29104477611940299</v>
      </c>
      <c r="AZ176" s="7">
        <f t="shared" si="327"/>
        <v>7.1895424836601302E-2</v>
      </c>
      <c r="BA176" s="7">
        <f t="shared" si="327"/>
        <v>-1.2738853503184714E-2</v>
      </c>
      <c r="BB176" s="7">
        <f t="shared" si="327"/>
        <v>-0.14450867052023122</v>
      </c>
      <c r="BC176" s="7">
        <f t="shared" si="327"/>
        <v>-8.4269662921348312E-2</v>
      </c>
      <c r="BD176" s="7">
        <f t="shared" si="327"/>
        <v>-0.17289719626168223</v>
      </c>
      <c r="BE176" s="7">
        <f t="shared" si="327"/>
        <v>-2.336448598130841E-2</v>
      </c>
      <c r="BF176" s="7">
        <f t="shared" si="327"/>
        <v>-7.5471698113207544E-2</v>
      </c>
      <c r="BG176" s="7">
        <f t="shared" si="327"/>
        <v>-0.17252396166134185</v>
      </c>
      <c r="BH176" s="7">
        <f t="shared" si="327"/>
        <v>-0.11271676300578035</v>
      </c>
      <c r="BI176" s="7">
        <f t="shared" si="327"/>
        <v>-0.14743589743589744</v>
      </c>
      <c r="BJ176" s="7">
        <f t="shared" si="327"/>
        <v>-8.9552238805970144E-2</v>
      </c>
      <c r="BK176" s="7">
        <f t="shared" si="327"/>
        <v>-0.11206896551724138</v>
      </c>
      <c r="BL176" s="7">
        <f t="shared" si="327"/>
        <v>-0.28431372549019607</v>
      </c>
      <c r="BM176" s="7">
        <f t="shared" si="327"/>
        <v>-0.12121212121212122</v>
      </c>
      <c r="BN176" s="7">
        <f t="shared" si="327"/>
        <v>-0.14124293785310735</v>
      </c>
      <c r="BO176" s="7">
        <f t="shared" si="327"/>
        <v>-0.11471321695760599</v>
      </c>
      <c r="BP176" s="7">
        <f t="shared" ref="BP176:CY176" si="328">BP128/BP29</f>
        <v>-0.14766839378238342</v>
      </c>
      <c r="BQ176" s="7">
        <f t="shared" si="328"/>
        <v>-0.18095238095238095</v>
      </c>
      <c r="BR176" s="7">
        <f t="shared" si="328"/>
        <v>-7.2164948453608241E-2</v>
      </c>
      <c r="BS176" s="7">
        <f t="shared" si="328"/>
        <v>-6.9114470842332618E-2</v>
      </c>
      <c r="BT176" s="7">
        <f t="shared" si="328"/>
        <v>-5.0751879699248117E-2</v>
      </c>
      <c r="BU176" s="7">
        <f t="shared" si="328"/>
        <v>-3.4420289855072464E-2</v>
      </c>
      <c r="BV176" s="7">
        <f t="shared" si="328"/>
        <v>-3.7037037037037035E-2</v>
      </c>
      <c r="BW176" s="7">
        <f t="shared" si="328"/>
        <v>-1.5759312320916905E-2</v>
      </c>
      <c r="BX176" s="7">
        <f t="shared" si="328"/>
        <v>-9.8400984009840101E-3</v>
      </c>
      <c r="BY176" s="7">
        <f t="shared" si="328"/>
        <v>0</v>
      </c>
      <c r="BZ176" s="7">
        <f t="shared" si="328"/>
        <v>-2.6018099547511313E-2</v>
      </c>
      <c r="CA176" s="7">
        <f t="shared" si="328"/>
        <v>-6.7961165048543689E-3</v>
      </c>
      <c r="CB176" s="7">
        <f t="shared" si="328"/>
        <v>7.9155672823219003E-3</v>
      </c>
      <c r="CC176" s="7">
        <f t="shared" si="328"/>
        <v>-4.0355125100887809E-3</v>
      </c>
      <c r="CD176" s="7">
        <f t="shared" si="328"/>
        <v>7.4404761904761901E-4</v>
      </c>
      <c r="CE176" s="7">
        <f t="shared" si="328"/>
        <v>6.8166325835037494E-4</v>
      </c>
      <c r="CF176" s="7">
        <f t="shared" si="328"/>
        <v>-2.5078369905956114E-3</v>
      </c>
      <c r="CG176" s="7">
        <f t="shared" si="328"/>
        <v>-5.3191489361702126E-3</v>
      </c>
      <c r="CH176" s="7">
        <f t="shared" si="328"/>
        <v>-5.2301255230125519E-4</v>
      </c>
      <c r="CI176" s="7">
        <f t="shared" si="328"/>
        <v>-3.7243947858472998E-3</v>
      </c>
      <c r="CJ176" s="7">
        <f t="shared" si="328"/>
        <v>2.3937761819269898E-3</v>
      </c>
      <c r="CK176" s="7">
        <f t="shared" si="328"/>
        <v>-4.4893378226711564E-3</v>
      </c>
      <c r="CL176" s="7">
        <f t="shared" si="328"/>
        <v>-1.1841326228537595E-3</v>
      </c>
      <c r="CM176" s="7">
        <f t="shared" si="328"/>
        <v>2.4479804161566705E-3</v>
      </c>
      <c r="CN176" s="7">
        <f t="shared" si="328"/>
        <v>-2.0093770931011385E-3</v>
      </c>
      <c r="CO176" s="7">
        <f t="shared" si="328"/>
        <v>-1.3726835964310226E-3</v>
      </c>
      <c r="CP176" s="7">
        <f t="shared" si="328"/>
        <v>-2.3715415019762848E-3</v>
      </c>
      <c r="CQ176" s="7">
        <f t="shared" si="328"/>
        <v>-8.7642418930762491E-4</v>
      </c>
      <c r="CR176" s="7">
        <f t="shared" si="328"/>
        <v>-3.3039647577092512E-3</v>
      </c>
      <c r="CS176" s="7">
        <f t="shared" si="328"/>
        <v>-1.2594458438287153E-3</v>
      </c>
      <c r="CT176" s="7">
        <f t="shared" si="328"/>
        <v>0</v>
      </c>
      <c r="CU176" s="7">
        <f t="shared" si="328"/>
        <v>-2.1929824561403508E-3</v>
      </c>
      <c r="CV176" s="7">
        <f t="shared" si="328"/>
        <v>-2.9585798816568047E-3</v>
      </c>
      <c r="CW176" s="7">
        <f t="shared" si="328"/>
        <v>0</v>
      </c>
      <c r="CX176" s="7">
        <f t="shared" si="328"/>
        <v>0</v>
      </c>
      <c r="CY176" s="7">
        <f t="shared" si="328"/>
        <v>0</v>
      </c>
    </row>
    <row r="177" spans="1:103" x14ac:dyDescent="0.3">
      <c r="A177" s="10">
        <v>2004</v>
      </c>
      <c r="C177" s="7">
        <f t="shared" ref="C177:BN177" si="329">C129/C30</f>
        <v>5.5649350649350646</v>
      </c>
      <c r="D177" s="7">
        <f t="shared" si="329"/>
        <v>8.454545454545455</v>
      </c>
      <c r="E177" s="7">
        <f t="shared" si="329"/>
        <v>11.333333333333334</v>
      </c>
      <c r="F177" s="7">
        <f t="shared" si="329"/>
        <v>17.888888888888889</v>
      </c>
      <c r="G177" s="7">
        <f t="shared" si="329"/>
        <v>28.166666666666668</v>
      </c>
      <c r="H177" s="7">
        <f t="shared" si="329"/>
        <v>27.2</v>
      </c>
      <c r="I177" s="7">
        <f t="shared" si="329"/>
        <v>27.428571428571427</v>
      </c>
      <c r="J177" s="7">
        <f t="shared" si="329"/>
        <v>20.555555555555557</v>
      </c>
      <c r="K177" s="7">
        <f t="shared" si="329"/>
        <v>40.799999999999997</v>
      </c>
      <c r="L177" s="7">
        <f t="shared" si="329"/>
        <v>25.571428571428573</v>
      </c>
      <c r="M177" s="7">
        <f t="shared" si="329"/>
        <v>65.666666666666671</v>
      </c>
      <c r="N177" s="7">
        <f t="shared" si="329"/>
        <v>23.571428571428573</v>
      </c>
      <c r="O177" s="7">
        <f t="shared" si="329"/>
        <v>20.9</v>
      </c>
      <c r="P177" s="7">
        <f t="shared" si="329"/>
        <v>45.5</v>
      </c>
      <c r="Q177" s="7">
        <f t="shared" si="329"/>
        <v>17.7</v>
      </c>
      <c r="R177" s="7">
        <f t="shared" si="329"/>
        <v>29</v>
      </c>
      <c r="S177" s="7">
        <f t="shared" si="329"/>
        <v>19.611111111111111</v>
      </c>
      <c r="T177" s="7">
        <f t="shared" si="329"/>
        <v>16.368421052631579</v>
      </c>
      <c r="U177" s="7">
        <f t="shared" si="329"/>
        <v>14.84</v>
      </c>
      <c r="V177" s="7">
        <f t="shared" si="329"/>
        <v>8.8000000000000007</v>
      </c>
      <c r="W177" s="7">
        <f t="shared" si="329"/>
        <v>6.9459459459459456</v>
      </c>
      <c r="X177" s="7">
        <f t="shared" si="329"/>
        <v>9.3157894736842106</v>
      </c>
      <c r="Y177" s="7">
        <f t="shared" si="329"/>
        <v>17.258064516129032</v>
      </c>
      <c r="Z177" s="7">
        <f t="shared" si="329"/>
        <v>14.538461538461538</v>
      </c>
      <c r="AA177" s="7">
        <f t="shared" si="329"/>
        <v>15.052631578947368</v>
      </c>
      <c r="AB177" s="7">
        <f t="shared" si="329"/>
        <v>13.666666666666666</v>
      </c>
      <c r="AC177" s="7">
        <f t="shared" si="329"/>
        <v>9.7037037037037042</v>
      </c>
      <c r="AD177" s="7">
        <f t="shared" si="329"/>
        <v>12.074999999999999</v>
      </c>
      <c r="AE177" s="7">
        <f t="shared" si="329"/>
        <v>14.939393939393939</v>
      </c>
      <c r="AF177" s="7">
        <f t="shared" si="329"/>
        <v>13.1</v>
      </c>
      <c r="AG177" s="7">
        <f t="shared" si="329"/>
        <v>7.3488372093023253</v>
      </c>
      <c r="AH177" s="7">
        <f t="shared" si="329"/>
        <v>12.481481481481481</v>
      </c>
      <c r="AI177" s="7">
        <f t="shared" si="329"/>
        <v>7</v>
      </c>
      <c r="AJ177" s="7">
        <f t="shared" si="329"/>
        <v>6.7441860465116283</v>
      </c>
      <c r="AK177" s="7">
        <f t="shared" si="329"/>
        <v>3.2142857142857144</v>
      </c>
      <c r="AL177" s="7">
        <f t="shared" si="329"/>
        <v>4.615384615384615</v>
      </c>
      <c r="AM177" s="7">
        <f t="shared" si="329"/>
        <v>3.0961538461538463</v>
      </c>
      <c r="AN177" s="7">
        <f t="shared" si="329"/>
        <v>2.5970149253731343</v>
      </c>
      <c r="AO177" s="7">
        <f t="shared" si="329"/>
        <v>1.8125</v>
      </c>
      <c r="AP177" s="7">
        <f t="shared" si="329"/>
        <v>2.3766233766233764</v>
      </c>
      <c r="AQ177" s="7">
        <f t="shared" si="329"/>
        <v>1.058139534883721</v>
      </c>
      <c r="AR177" s="7">
        <f t="shared" si="329"/>
        <v>1.3472222222222223</v>
      </c>
      <c r="AS177" s="7">
        <f t="shared" si="329"/>
        <v>1.4615384615384615</v>
      </c>
      <c r="AT177" s="7">
        <f t="shared" si="329"/>
        <v>1.4210526315789473</v>
      </c>
      <c r="AU177" s="7">
        <f t="shared" si="329"/>
        <v>0.76</v>
      </c>
      <c r="AV177" s="7">
        <f t="shared" si="329"/>
        <v>0.76106194690265483</v>
      </c>
      <c r="AW177" s="7">
        <f t="shared" si="329"/>
        <v>0.76576576576576572</v>
      </c>
      <c r="AX177" s="7">
        <f t="shared" si="329"/>
        <v>0.54545454545454541</v>
      </c>
      <c r="AY177" s="7">
        <f t="shared" si="329"/>
        <v>0.39849624060150374</v>
      </c>
      <c r="AZ177" s="7">
        <f t="shared" si="329"/>
        <v>0.39726027397260272</v>
      </c>
      <c r="BA177" s="7">
        <f t="shared" si="329"/>
        <v>0.12280701754385964</v>
      </c>
      <c r="BB177" s="7">
        <f t="shared" si="329"/>
        <v>-2.8089887640449437E-2</v>
      </c>
      <c r="BC177" s="7">
        <f t="shared" si="329"/>
        <v>1.0256410256410256E-2</v>
      </c>
      <c r="BD177" s="7">
        <f t="shared" si="329"/>
        <v>5.3475935828877002E-3</v>
      </c>
      <c r="BE177" s="7">
        <f t="shared" si="329"/>
        <v>3.8793103448275863E-2</v>
      </c>
      <c r="BF177" s="7">
        <f t="shared" si="329"/>
        <v>-4.1984732824427481E-2</v>
      </c>
      <c r="BG177" s="7">
        <f t="shared" si="329"/>
        <v>-0.15129151291512916</v>
      </c>
      <c r="BH177" s="7">
        <f t="shared" si="329"/>
        <v>-0.1550632911392405</v>
      </c>
      <c r="BI177" s="7">
        <f t="shared" si="329"/>
        <v>-0.17158176943699732</v>
      </c>
      <c r="BJ177" s="7">
        <f t="shared" si="329"/>
        <v>-8.1570996978851965E-2</v>
      </c>
      <c r="BK177" s="7">
        <f t="shared" si="329"/>
        <v>-9.5607235142118857E-2</v>
      </c>
      <c r="BL177" s="7">
        <f t="shared" si="329"/>
        <v>-0.12389380530973451</v>
      </c>
      <c r="BM177" s="7">
        <f t="shared" si="329"/>
        <v>-8.3850931677018639E-2</v>
      </c>
      <c r="BN177" s="7">
        <f t="shared" si="329"/>
        <v>-1.9047619047619049E-2</v>
      </c>
      <c r="BO177" s="7">
        <f t="shared" ref="BO177:CY177" si="330">BO129/BO30</f>
        <v>-2.5069637883008356E-2</v>
      </c>
      <c r="BP177" s="7">
        <f t="shared" si="330"/>
        <v>-6.5217391304347824E-2</v>
      </c>
      <c r="BQ177" s="7">
        <f t="shared" si="330"/>
        <v>-8.9086859688195991E-2</v>
      </c>
      <c r="BR177" s="7">
        <f t="shared" si="330"/>
        <v>-4.8888888888888891E-2</v>
      </c>
      <c r="BS177" s="7">
        <f t="shared" si="330"/>
        <v>-6.1926605504587159E-2</v>
      </c>
      <c r="BT177" s="7">
        <f t="shared" si="330"/>
        <v>-3.6821705426356592E-2</v>
      </c>
      <c r="BU177" s="7">
        <f t="shared" si="330"/>
        <v>-2.5193798449612403E-2</v>
      </c>
      <c r="BV177" s="7">
        <f t="shared" si="330"/>
        <v>-2.1452145214521452E-2</v>
      </c>
      <c r="BW177" s="7">
        <f t="shared" si="330"/>
        <v>2.9585798816568047E-3</v>
      </c>
      <c r="BX177" s="7">
        <f t="shared" si="330"/>
        <v>-1.9310344827586208E-2</v>
      </c>
      <c r="BY177" s="7">
        <f t="shared" si="330"/>
        <v>-5.0632911392405064E-3</v>
      </c>
      <c r="BZ177" s="7">
        <f t="shared" si="330"/>
        <v>-1.1600928074245939E-3</v>
      </c>
      <c r="CA177" s="7">
        <f t="shared" si="330"/>
        <v>7.3606729758149319E-3</v>
      </c>
      <c r="CB177" s="7">
        <f t="shared" si="330"/>
        <v>-1.1396011396011397E-2</v>
      </c>
      <c r="CC177" s="7">
        <f t="shared" si="330"/>
        <v>-3.4934497816593887E-3</v>
      </c>
      <c r="CD177" s="7">
        <f t="shared" si="330"/>
        <v>-7.4257425742574254E-3</v>
      </c>
      <c r="CE177" s="7">
        <f t="shared" si="330"/>
        <v>5.6899004267425323E-3</v>
      </c>
      <c r="CF177" s="7">
        <f t="shared" si="330"/>
        <v>-5.9952038369304552E-4</v>
      </c>
      <c r="CG177" s="7">
        <f t="shared" si="330"/>
        <v>0</v>
      </c>
      <c r="CH177" s="7">
        <f t="shared" si="330"/>
        <v>-1.7699115044247787E-3</v>
      </c>
      <c r="CI177" s="7">
        <f t="shared" si="330"/>
        <v>-2.1208907741251328E-3</v>
      </c>
      <c r="CJ177" s="7">
        <f t="shared" si="330"/>
        <v>0</v>
      </c>
      <c r="CK177" s="7">
        <f t="shared" si="330"/>
        <v>1.2562814070351759E-3</v>
      </c>
      <c r="CL177" s="7">
        <f t="shared" si="330"/>
        <v>-5.9171597633136093E-3</v>
      </c>
      <c r="CM177" s="7">
        <f t="shared" si="330"/>
        <v>-1.287001287001287E-3</v>
      </c>
      <c r="CN177" s="7">
        <f t="shared" si="330"/>
        <v>-5.4794520547945206E-3</v>
      </c>
      <c r="CO177" s="7">
        <f t="shared" si="330"/>
        <v>2.152080344332855E-3</v>
      </c>
      <c r="CP177" s="7">
        <f t="shared" si="330"/>
        <v>-3.177124702144559E-3</v>
      </c>
      <c r="CQ177" s="7">
        <f t="shared" si="330"/>
        <v>-9.3196644920782849E-4</v>
      </c>
      <c r="CR177" s="7">
        <f t="shared" si="330"/>
        <v>-3.0456852791878172E-3</v>
      </c>
      <c r="CS177" s="7">
        <f t="shared" si="330"/>
        <v>0</v>
      </c>
      <c r="CT177" s="7">
        <f t="shared" si="330"/>
        <v>0</v>
      </c>
      <c r="CU177" s="7">
        <f t="shared" si="330"/>
        <v>-4.2553191489361703E-3</v>
      </c>
      <c r="CV177" s="7">
        <f t="shared" si="330"/>
        <v>0</v>
      </c>
      <c r="CW177" s="7">
        <f t="shared" si="330"/>
        <v>4.2372881355932203E-3</v>
      </c>
      <c r="CX177" s="7">
        <f t="shared" si="330"/>
        <v>-1.8987341772151899E-2</v>
      </c>
      <c r="CY177" s="7">
        <f t="shared" si="330"/>
        <v>-1.9047619047619049E-2</v>
      </c>
    </row>
    <row r="178" spans="1:103" x14ac:dyDescent="0.3">
      <c r="A178" s="10">
        <v>2005</v>
      </c>
      <c r="C178" s="7">
        <f t="shared" ref="C178:BN178" si="331">C130/C31</f>
        <v>4.72</v>
      </c>
      <c r="D178" s="7">
        <f t="shared" si="331"/>
        <v>11.948717948717949</v>
      </c>
      <c r="E178" s="7">
        <f t="shared" si="331"/>
        <v>14.692307692307692</v>
      </c>
      <c r="F178" s="7">
        <f t="shared" si="331"/>
        <v>16.214285714285715</v>
      </c>
      <c r="G178" s="7">
        <f t="shared" si="331"/>
        <v>46.5</v>
      </c>
      <c r="H178" s="7">
        <f t="shared" si="331"/>
        <v>20</v>
      </c>
      <c r="I178" s="7">
        <f t="shared" si="331"/>
        <v>30</v>
      </c>
      <c r="J178" s="7">
        <f t="shared" si="331"/>
        <v>90.333333333333329</v>
      </c>
      <c r="K178" s="7">
        <f t="shared" si="331"/>
        <v>45</v>
      </c>
      <c r="L178" s="7">
        <f t="shared" si="331"/>
        <v>35.25</v>
      </c>
      <c r="M178" s="7">
        <f t="shared" si="331"/>
        <v>35.714285714285715</v>
      </c>
      <c r="N178" s="7">
        <f t="shared" si="331"/>
        <v>38.833333333333336</v>
      </c>
      <c r="O178" s="7">
        <f t="shared" si="331"/>
        <v>37.166666666666664</v>
      </c>
      <c r="P178" s="7">
        <f t="shared" si="331"/>
        <v>65.25</v>
      </c>
      <c r="Q178" s="7">
        <f t="shared" si="331"/>
        <v>28.333333333333332</v>
      </c>
      <c r="R178" s="7">
        <f t="shared" si="331"/>
        <v>22.818181818181817</v>
      </c>
      <c r="S178" s="7">
        <f t="shared" si="331"/>
        <v>22.923076923076923</v>
      </c>
      <c r="T178" s="7">
        <f t="shared" si="331"/>
        <v>10.592592592592593</v>
      </c>
      <c r="U178" s="7">
        <f t="shared" si="331"/>
        <v>18.263157894736842</v>
      </c>
      <c r="V178" s="7">
        <f t="shared" si="331"/>
        <v>12.758620689655173</v>
      </c>
      <c r="W178" s="7">
        <f t="shared" si="331"/>
        <v>11.096774193548388</v>
      </c>
      <c r="X178" s="7">
        <f t="shared" si="331"/>
        <v>11.409090909090908</v>
      </c>
      <c r="Y178" s="7">
        <f t="shared" si="331"/>
        <v>15.785714285714286</v>
      </c>
      <c r="Z178" s="7">
        <f t="shared" si="331"/>
        <v>20.857142857142858</v>
      </c>
      <c r="AA178" s="7">
        <f t="shared" si="331"/>
        <v>20.694444444444443</v>
      </c>
      <c r="AB178" s="7">
        <f t="shared" si="331"/>
        <v>20.891891891891891</v>
      </c>
      <c r="AC178" s="7">
        <f t="shared" si="331"/>
        <v>27.962962962962962</v>
      </c>
      <c r="AD178" s="7">
        <f t="shared" si="331"/>
        <v>18.794871794871796</v>
      </c>
      <c r="AE178" s="7">
        <f t="shared" si="331"/>
        <v>20.222222222222221</v>
      </c>
      <c r="AF178" s="7">
        <f t="shared" si="331"/>
        <v>16.487179487179485</v>
      </c>
      <c r="AG178" s="7">
        <f t="shared" si="331"/>
        <v>14.368421052631579</v>
      </c>
      <c r="AH178" s="7">
        <f t="shared" si="331"/>
        <v>12.166666666666666</v>
      </c>
      <c r="AI178" s="7">
        <f t="shared" si="331"/>
        <v>14.763157894736842</v>
      </c>
      <c r="AJ178" s="7">
        <f t="shared" si="331"/>
        <v>10.666666666666666</v>
      </c>
      <c r="AK178" s="7">
        <f t="shared" si="331"/>
        <v>9.4509803921568629</v>
      </c>
      <c r="AL178" s="7">
        <f t="shared" si="331"/>
        <v>5.3636363636363633</v>
      </c>
      <c r="AM178" s="7">
        <f t="shared" si="331"/>
        <v>6.35</v>
      </c>
      <c r="AN178" s="7">
        <f t="shared" si="331"/>
        <v>5.092307692307692</v>
      </c>
      <c r="AO178" s="7">
        <f t="shared" si="331"/>
        <v>3.625</v>
      </c>
      <c r="AP178" s="7">
        <f t="shared" si="331"/>
        <v>3.2916666666666665</v>
      </c>
      <c r="AQ178" s="7">
        <f t="shared" si="331"/>
        <v>2.4382022471910112</v>
      </c>
      <c r="AR178" s="7">
        <f t="shared" si="331"/>
        <v>2.7674418604651163</v>
      </c>
      <c r="AS178" s="7">
        <f t="shared" si="331"/>
        <v>2.9594594594594597</v>
      </c>
      <c r="AT178" s="7">
        <f t="shared" si="331"/>
        <v>2.3333333333333335</v>
      </c>
      <c r="AU178" s="7">
        <f t="shared" si="331"/>
        <v>1.9795918367346939</v>
      </c>
      <c r="AV178" s="7">
        <f t="shared" si="331"/>
        <v>1.2524271844660195</v>
      </c>
      <c r="AW178" s="7">
        <f t="shared" si="331"/>
        <v>1.4672897196261683</v>
      </c>
      <c r="AX178" s="7">
        <f t="shared" si="331"/>
        <v>0.79487179487179482</v>
      </c>
      <c r="AY178" s="7">
        <f t="shared" si="331"/>
        <v>0.45925925925925926</v>
      </c>
      <c r="AZ178" s="7">
        <f t="shared" si="331"/>
        <v>0.38036809815950923</v>
      </c>
      <c r="BA178" s="7">
        <f t="shared" si="331"/>
        <v>0.28859060402684567</v>
      </c>
      <c r="BB178" s="7">
        <f t="shared" si="331"/>
        <v>0.24309392265193369</v>
      </c>
      <c r="BC178" s="7">
        <f t="shared" si="331"/>
        <v>0.22105263157894736</v>
      </c>
      <c r="BD178" s="7">
        <f t="shared" si="331"/>
        <v>6.9306930693069313E-2</v>
      </c>
      <c r="BE178" s="7">
        <f t="shared" si="331"/>
        <v>6.1946902654867256E-2</v>
      </c>
      <c r="BF178" s="7">
        <f t="shared" si="331"/>
        <v>-3.7344398340248962E-2</v>
      </c>
      <c r="BG178" s="7">
        <f t="shared" si="331"/>
        <v>-3.90625E-2</v>
      </c>
      <c r="BH178" s="7">
        <f t="shared" si="331"/>
        <v>-7.4204946996466431E-2</v>
      </c>
      <c r="BI178" s="7">
        <f t="shared" si="331"/>
        <v>-6.8535825545171333E-2</v>
      </c>
      <c r="BJ178" s="7">
        <f t="shared" si="331"/>
        <v>7.832898172323759E-3</v>
      </c>
      <c r="BK178" s="7">
        <f t="shared" si="331"/>
        <v>-6.8877551020408156E-2</v>
      </c>
      <c r="BL178" s="7">
        <f t="shared" si="331"/>
        <v>-0.11345646437994723</v>
      </c>
      <c r="BM178" s="7">
        <f t="shared" si="331"/>
        <v>-9.2499999999999999E-2</v>
      </c>
      <c r="BN178" s="7">
        <f t="shared" si="331"/>
        <v>-6.7647058823529407E-2</v>
      </c>
      <c r="BO178" s="7">
        <f t="shared" ref="BO178:CY178" si="332">BO130/BO31</f>
        <v>-6.2330623306233061E-2</v>
      </c>
      <c r="BP178" s="7">
        <f t="shared" si="332"/>
        <v>-1.6055045871559634E-2</v>
      </c>
      <c r="BQ178" s="7">
        <f t="shared" si="332"/>
        <v>-2.2727272727272728E-2</v>
      </c>
      <c r="BR178" s="7">
        <f t="shared" si="332"/>
        <v>-6.0889929742388757E-2</v>
      </c>
      <c r="BS178" s="7">
        <f t="shared" si="332"/>
        <v>-8.6021505376344086E-3</v>
      </c>
      <c r="BT178" s="7">
        <f t="shared" si="332"/>
        <v>-1.7857142857142856E-2</v>
      </c>
      <c r="BU178" s="7">
        <f t="shared" si="332"/>
        <v>-1.1406844106463879E-2</v>
      </c>
      <c r="BV178" s="7">
        <f t="shared" si="332"/>
        <v>3.3898305084745762E-3</v>
      </c>
      <c r="BW178" s="7">
        <f t="shared" si="332"/>
        <v>3.5211267605633804E-3</v>
      </c>
      <c r="BX178" s="7">
        <f t="shared" si="332"/>
        <v>2.8089887640449437E-3</v>
      </c>
      <c r="BY178" s="7">
        <f t="shared" si="332"/>
        <v>3.7453183520599251E-3</v>
      </c>
      <c r="BZ178" s="7">
        <f t="shared" si="332"/>
        <v>4.5197740112994352E-3</v>
      </c>
      <c r="CA178" s="7">
        <f t="shared" si="332"/>
        <v>2.1052631578947368E-3</v>
      </c>
      <c r="CB178" s="7">
        <f t="shared" si="332"/>
        <v>6.9033530571992107E-3</v>
      </c>
      <c r="CC178" s="7">
        <f t="shared" si="332"/>
        <v>1.2844036697247707E-2</v>
      </c>
      <c r="CD178" s="7">
        <f t="shared" si="332"/>
        <v>3.8461538461538464E-3</v>
      </c>
      <c r="CE178" s="7">
        <f t="shared" si="332"/>
        <v>2.2590361445783132E-3</v>
      </c>
      <c r="CF178" s="7">
        <f t="shared" si="332"/>
        <v>-3.4270047978067169E-3</v>
      </c>
      <c r="CG178" s="7">
        <f t="shared" si="332"/>
        <v>4.4275774826059459E-3</v>
      </c>
      <c r="CH178" s="7">
        <f t="shared" si="332"/>
        <v>3.0358227079538553E-3</v>
      </c>
      <c r="CI178" s="7">
        <f t="shared" si="332"/>
        <v>-1.2106537530266344E-3</v>
      </c>
      <c r="CJ178" s="7">
        <f t="shared" si="332"/>
        <v>5.2493438320209973E-4</v>
      </c>
      <c r="CK178" s="7">
        <f t="shared" si="332"/>
        <v>2.9638411381149969E-3</v>
      </c>
      <c r="CL178" s="7">
        <f t="shared" si="332"/>
        <v>-3.64741641337386E-3</v>
      </c>
      <c r="CM178" s="7">
        <f t="shared" si="332"/>
        <v>2.4390243902439024E-3</v>
      </c>
      <c r="CN178" s="7">
        <f t="shared" si="332"/>
        <v>4.6791443850267376E-3</v>
      </c>
      <c r="CO178" s="7">
        <f t="shared" si="332"/>
        <v>-1.4295925661186562E-3</v>
      </c>
      <c r="CP178" s="7">
        <f t="shared" si="332"/>
        <v>3.0983733539891559E-3</v>
      </c>
      <c r="CQ178" s="7">
        <f t="shared" si="332"/>
        <v>-5.3619302949061663E-3</v>
      </c>
      <c r="CR178" s="7">
        <f t="shared" si="332"/>
        <v>1.0438413361169101E-3</v>
      </c>
      <c r="CS178" s="7">
        <f t="shared" si="332"/>
        <v>-1.2422360248447205E-3</v>
      </c>
      <c r="CT178" s="7">
        <f t="shared" si="332"/>
        <v>-4.658385093167702E-3</v>
      </c>
      <c r="CU178" s="7">
        <f t="shared" si="332"/>
        <v>-1.8832391713747645E-3</v>
      </c>
      <c r="CV178" s="7">
        <f t="shared" si="332"/>
        <v>-3.003003003003003E-3</v>
      </c>
      <c r="CW178" s="7">
        <f t="shared" si="332"/>
        <v>0</v>
      </c>
      <c r="CX178" s="7">
        <f t="shared" si="332"/>
        <v>0</v>
      </c>
      <c r="CY178" s="7">
        <f t="shared" si="332"/>
        <v>0</v>
      </c>
    </row>
    <row r="179" spans="1:103" x14ac:dyDescent="0.3">
      <c r="A179" s="10">
        <v>2006</v>
      </c>
      <c r="C179" s="7">
        <f t="shared" ref="C179:BN179" si="333">C131/C32</f>
        <v>4.2857142857142856</v>
      </c>
      <c r="D179" s="7">
        <f t="shared" si="333"/>
        <v>26</v>
      </c>
      <c r="E179" s="7">
        <f t="shared" si="333"/>
        <v>30.75</v>
      </c>
      <c r="F179" s="7">
        <f t="shared" si="333"/>
        <v>36.833333333333336</v>
      </c>
      <c r="G179" s="7">
        <f t="shared" si="333"/>
        <v>25.454545454545453</v>
      </c>
      <c r="H179" s="7">
        <f t="shared" si="333"/>
        <v>19.75</v>
      </c>
      <c r="I179" s="7">
        <f t="shared" si="333"/>
        <v>41</v>
      </c>
      <c r="J179" s="7">
        <f t="shared" si="333"/>
        <v>35</v>
      </c>
      <c r="K179" s="7">
        <f t="shared" si="333"/>
        <v>71.333333333333329</v>
      </c>
      <c r="L179" s="7">
        <f t="shared" si="333"/>
        <v>33</v>
      </c>
      <c r="M179" s="7">
        <f t="shared" si="333"/>
        <v>27.375</v>
      </c>
      <c r="N179" s="7">
        <f t="shared" si="333"/>
        <v>35.571428571428569</v>
      </c>
      <c r="O179" s="7">
        <f t="shared" si="333"/>
        <v>138</v>
      </c>
      <c r="P179" s="7">
        <f t="shared" si="333"/>
        <v>63.333333333333336</v>
      </c>
      <c r="Q179" s="7">
        <f t="shared" si="333"/>
        <v>37.166666666666664</v>
      </c>
      <c r="R179" s="7">
        <f t="shared" si="333"/>
        <v>28.4</v>
      </c>
      <c r="S179" s="7">
        <f t="shared" si="333"/>
        <v>15.80952380952381</v>
      </c>
      <c r="T179" s="7">
        <f t="shared" si="333"/>
        <v>21.571428571428573</v>
      </c>
      <c r="U179" s="7">
        <f t="shared" si="333"/>
        <v>16.583333333333332</v>
      </c>
      <c r="V179" s="7">
        <f t="shared" si="333"/>
        <v>16.913043478260871</v>
      </c>
      <c r="W179" s="7">
        <f t="shared" si="333"/>
        <v>9.9487179487179489</v>
      </c>
      <c r="X179" s="7">
        <f t="shared" si="333"/>
        <v>21.241379310344829</v>
      </c>
      <c r="Y179" s="7">
        <f t="shared" si="333"/>
        <v>26.28125</v>
      </c>
      <c r="Z179" s="7">
        <f t="shared" si="333"/>
        <v>31.482758620689655</v>
      </c>
      <c r="AA179" s="7">
        <f t="shared" si="333"/>
        <v>26.857142857142858</v>
      </c>
      <c r="AB179" s="7">
        <f t="shared" si="333"/>
        <v>30.135135135135137</v>
      </c>
      <c r="AC179" s="7">
        <f t="shared" si="333"/>
        <v>42</v>
      </c>
      <c r="AD179" s="7">
        <f t="shared" si="333"/>
        <v>21.38</v>
      </c>
      <c r="AE179" s="7">
        <f t="shared" si="333"/>
        <v>26.944444444444443</v>
      </c>
      <c r="AF179" s="7">
        <f t="shared" si="333"/>
        <v>22.243902439024389</v>
      </c>
      <c r="AG179" s="7">
        <f t="shared" si="333"/>
        <v>33.772727272727273</v>
      </c>
      <c r="AH179" s="7">
        <f t="shared" si="333"/>
        <v>21.057142857142857</v>
      </c>
      <c r="AI179" s="7">
        <f t="shared" si="333"/>
        <v>11.326923076923077</v>
      </c>
      <c r="AJ179" s="7">
        <f t="shared" si="333"/>
        <v>13.347826086956522</v>
      </c>
      <c r="AK179" s="7">
        <f t="shared" si="333"/>
        <v>10.5</v>
      </c>
      <c r="AL179" s="7">
        <f t="shared" si="333"/>
        <v>9.9285714285714288</v>
      </c>
      <c r="AM179" s="7">
        <f t="shared" si="333"/>
        <v>8.2096774193548381</v>
      </c>
      <c r="AN179" s="7">
        <f t="shared" si="333"/>
        <v>8.66</v>
      </c>
      <c r="AO179" s="7">
        <f t="shared" si="333"/>
        <v>6.5396825396825395</v>
      </c>
      <c r="AP179" s="7">
        <f t="shared" si="333"/>
        <v>5.1044776119402986</v>
      </c>
      <c r="AQ179" s="7">
        <f t="shared" si="333"/>
        <v>5.2727272727272725</v>
      </c>
      <c r="AR179" s="7">
        <f t="shared" si="333"/>
        <v>4.6811594202898554</v>
      </c>
      <c r="AS179" s="7">
        <f t="shared" si="333"/>
        <v>3.5405405405405403</v>
      </c>
      <c r="AT179" s="7">
        <f t="shared" si="333"/>
        <v>3.9130434782608696</v>
      </c>
      <c r="AU179" s="7">
        <f t="shared" si="333"/>
        <v>2.7882352941176469</v>
      </c>
      <c r="AV179" s="7">
        <f t="shared" si="333"/>
        <v>2.5729166666666665</v>
      </c>
      <c r="AW179" s="7">
        <f t="shared" si="333"/>
        <v>1.2755905511811023</v>
      </c>
      <c r="AX179" s="7">
        <f t="shared" si="333"/>
        <v>1.9385964912280702</v>
      </c>
      <c r="AY179" s="7">
        <f t="shared" si="333"/>
        <v>1.3571428571428572</v>
      </c>
      <c r="AZ179" s="7">
        <f t="shared" si="333"/>
        <v>0.99411764705882355</v>
      </c>
      <c r="BA179" s="7">
        <f t="shared" si="333"/>
        <v>0.78</v>
      </c>
      <c r="BB179" s="7">
        <f t="shared" si="333"/>
        <v>0.66666666666666663</v>
      </c>
      <c r="BC179" s="7">
        <f t="shared" si="333"/>
        <v>0.41538461538461541</v>
      </c>
      <c r="BD179" s="7">
        <f t="shared" si="333"/>
        <v>0.32535885167464113</v>
      </c>
      <c r="BE179" s="7">
        <f t="shared" si="333"/>
        <v>0.28703703703703703</v>
      </c>
      <c r="BF179" s="7">
        <f t="shared" si="333"/>
        <v>0.14410480349344978</v>
      </c>
      <c r="BG179" s="7">
        <f t="shared" si="333"/>
        <v>9.3023255813953487E-2</v>
      </c>
      <c r="BH179" s="7">
        <f t="shared" si="333"/>
        <v>-1.3698630136986301E-2</v>
      </c>
      <c r="BI179" s="7">
        <f t="shared" si="333"/>
        <v>-5.9800664451827246E-2</v>
      </c>
      <c r="BJ179" s="7">
        <f t="shared" si="333"/>
        <v>-2.9498525073746312E-3</v>
      </c>
      <c r="BK179" s="7">
        <f t="shared" si="333"/>
        <v>-6.3569682151589244E-2</v>
      </c>
      <c r="BL179" s="7">
        <f t="shared" si="333"/>
        <v>-7.3710073710073709E-2</v>
      </c>
      <c r="BM179" s="7">
        <f t="shared" si="333"/>
        <v>-7.289293849658314E-2</v>
      </c>
      <c r="BN179" s="7">
        <f t="shared" si="333"/>
        <v>0</v>
      </c>
      <c r="BO179" s="7">
        <f t="shared" ref="BO179:CY179" si="334">BO131/BO32</f>
        <v>-3.6764705882352942E-2</v>
      </c>
      <c r="BP179" s="7">
        <f t="shared" si="334"/>
        <v>-7.6294277929155316E-2</v>
      </c>
      <c r="BQ179" s="7">
        <f t="shared" si="334"/>
        <v>-4.1343669250645997E-2</v>
      </c>
      <c r="BR179" s="7">
        <f t="shared" si="334"/>
        <v>-5.2980132450331126E-2</v>
      </c>
      <c r="BS179" s="7">
        <f t="shared" si="334"/>
        <v>-1.2474012474012475E-2</v>
      </c>
      <c r="BT179" s="7">
        <f t="shared" si="334"/>
        <v>5.7034220532319393E-3</v>
      </c>
      <c r="BU179" s="7">
        <f t="shared" si="334"/>
        <v>2.1505376344086021E-3</v>
      </c>
      <c r="BV179" s="7">
        <f t="shared" si="334"/>
        <v>-1.4056224899598393E-2</v>
      </c>
      <c r="BW179" s="7">
        <f t="shared" si="334"/>
        <v>3.3003300330033004E-3</v>
      </c>
      <c r="BX179" s="7">
        <f t="shared" si="334"/>
        <v>-8.8105726872246704E-3</v>
      </c>
      <c r="BY179" s="7">
        <f t="shared" si="334"/>
        <v>2.7662517289073307E-3</v>
      </c>
      <c r="BZ179" s="7">
        <f t="shared" si="334"/>
        <v>1.0739856801909307E-2</v>
      </c>
      <c r="CA179" s="7">
        <f t="shared" si="334"/>
        <v>4.3668122270742356E-3</v>
      </c>
      <c r="CB179" s="7">
        <f t="shared" si="334"/>
        <v>2.1097046413502108E-3</v>
      </c>
      <c r="CC179" s="7">
        <f t="shared" si="334"/>
        <v>9.5693779904306223E-4</v>
      </c>
      <c r="CD179" s="7">
        <f t="shared" si="334"/>
        <v>8.5543199315654401E-4</v>
      </c>
      <c r="CE179" s="7">
        <f t="shared" si="334"/>
        <v>3.1471282454760031E-3</v>
      </c>
      <c r="CF179" s="7">
        <f t="shared" si="334"/>
        <v>7.246376811594203E-4</v>
      </c>
      <c r="CG179" s="7">
        <f t="shared" si="334"/>
        <v>5.8403634003893574E-3</v>
      </c>
      <c r="CH179" s="7">
        <f t="shared" si="334"/>
        <v>5.2417006406523005E-3</v>
      </c>
      <c r="CI179" s="7">
        <f t="shared" si="334"/>
        <v>-2.3014959723820483E-3</v>
      </c>
      <c r="CJ179" s="7">
        <f t="shared" si="334"/>
        <v>0</v>
      </c>
      <c r="CK179" s="7">
        <f t="shared" si="334"/>
        <v>2.070393374741201E-3</v>
      </c>
      <c r="CL179" s="7">
        <f t="shared" si="334"/>
        <v>1.8963337547408343E-3</v>
      </c>
      <c r="CM179" s="7">
        <f t="shared" si="334"/>
        <v>1.2269938650306749E-3</v>
      </c>
      <c r="CN179" s="7">
        <f t="shared" si="334"/>
        <v>0</v>
      </c>
      <c r="CO179" s="7">
        <f t="shared" si="334"/>
        <v>1.3596193065941536E-3</v>
      </c>
      <c r="CP179" s="7">
        <f t="shared" si="334"/>
        <v>7.8926598263614842E-3</v>
      </c>
      <c r="CQ179" s="7">
        <f t="shared" si="334"/>
        <v>-7.6465590484282074E-3</v>
      </c>
      <c r="CR179" s="7">
        <f t="shared" si="334"/>
        <v>1.0030090270812437E-3</v>
      </c>
      <c r="CS179" s="7">
        <f t="shared" si="334"/>
        <v>-3.592814371257485E-3</v>
      </c>
      <c r="CT179" s="7">
        <f t="shared" si="334"/>
        <v>2.9197080291970801E-3</v>
      </c>
      <c r="CU179" s="7">
        <f t="shared" si="334"/>
        <v>3.838771593090211E-3</v>
      </c>
      <c r="CV179" s="7">
        <f t="shared" si="334"/>
        <v>-6.9284064665127024E-3</v>
      </c>
      <c r="CW179" s="7">
        <f t="shared" si="334"/>
        <v>-3.4364261168384879E-3</v>
      </c>
      <c r="CX179" s="7">
        <f t="shared" si="334"/>
        <v>0</v>
      </c>
      <c r="CY179" s="7">
        <f t="shared" si="334"/>
        <v>-7.575757575757576E-3</v>
      </c>
    </row>
    <row r="180" spans="1:103" x14ac:dyDescent="0.3">
      <c r="A180" s="10">
        <v>2007</v>
      </c>
      <c r="C180" s="7">
        <f t="shared" ref="C180:BN180" si="335">C132/C33</f>
        <v>5.3018867924528301</v>
      </c>
      <c r="D180" s="7">
        <f t="shared" si="335"/>
        <v>21.060606060606062</v>
      </c>
      <c r="E180" s="7">
        <f t="shared" si="335"/>
        <v>58.125</v>
      </c>
      <c r="F180" s="7">
        <f t="shared" si="335"/>
        <v>37.333333333333336</v>
      </c>
      <c r="G180" s="7">
        <f t="shared" si="335"/>
        <v>181.5</v>
      </c>
      <c r="H180" s="7">
        <f t="shared" si="335"/>
        <v>69</v>
      </c>
      <c r="I180" s="7">
        <f t="shared" si="335"/>
        <v>93</v>
      </c>
      <c r="J180" s="7">
        <f t="shared" si="335"/>
        <v>82.25</v>
      </c>
      <c r="K180" s="7">
        <f t="shared" si="335"/>
        <v>71.2</v>
      </c>
      <c r="L180" s="7">
        <f t="shared" si="335"/>
        <v>78.599999999999994</v>
      </c>
      <c r="M180" s="7">
        <f t="shared" si="335"/>
        <v>50.714285714285715</v>
      </c>
      <c r="N180" s="7">
        <f t="shared" si="335"/>
        <v>75.8</v>
      </c>
      <c r="O180" s="7">
        <f t="shared" si="335"/>
        <v>29.181818181818183</v>
      </c>
      <c r="P180" s="7">
        <f t="shared" si="335"/>
        <v>36.222222222222221</v>
      </c>
      <c r="Q180" s="7">
        <f t="shared" si="335"/>
        <v>75.5</v>
      </c>
      <c r="R180" s="7">
        <f t="shared" si="335"/>
        <v>68.400000000000006</v>
      </c>
      <c r="S180" s="7">
        <f t="shared" si="335"/>
        <v>28.666666666666668</v>
      </c>
      <c r="T180" s="7">
        <f t="shared" si="335"/>
        <v>22.266666666666666</v>
      </c>
      <c r="U180" s="7">
        <f t="shared" si="335"/>
        <v>22.333333333333332</v>
      </c>
      <c r="V180" s="7">
        <f t="shared" si="335"/>
        <v>21.833333333333332</v>
      </c>
      <c r="W180" s="7">
        <f t="shared" si="335"/>
        <v>28.777777777777779</v>
      </c>
      <c r="X180" s="7">
        <f t="shared" si="335"/>
        <v>38.071428571428569</v>
      </c>
      <c r="Y180" s="7">
        <f t="shared" si="335"/>
        <v>35.416666666666664</v>
      </c>
      <c r="Z180" s="7">
        <f t="shared" si="335"/>
        <v>60</v>
      </c>
      <c r="AA180" s="7">
        <f t="shared" si="335"/>
        <v>49.029411764705884</v>
      </c>
      <c r="AB180" s="7">
        <f t="shared" si="335"/>
        <v>64.599999999999994</v>
      </c>
      <c r="AC180" s="7">
        <f t="shared" si="335"/>
        <v>58.545454545454547</v>
      </c>
      <c r="AD180" s="7">
        <f t="shared" si="335"/>
        <v>43.166666666666664</v>
      </c>
      <c r="AE180" s="7">
        <f t="shared" si="335"/>
        <v>32.469387755102041</v>
      </c>
      <c r="AF180" s="7">
        <f t="shared" si="335"/>
        <v>39.864864864864863</v>
      </c>
      <c r="AG180" s="7">
        <f t="shared" si="335"/>
        <v>42.9375</v>
      </c>
      <c r="AH180" s="7">
        <f t="shared" si="335"/>
        <v>48.884615384615387</v>
      </c>
      <c r="AI180" s="7">
        <f t="shared" si="335"/>
        <v>25.130434782608695</v>
      </c>
      <c r="AJ180" s="7">
        <f t="shared" si="335"/>
        <v>26.923076923076923</v>
      </c>
      <c r="AK180" s="7">
        <f t="shared" si="335"/>
        <v>24.146341463414632</v>
      </c>
      <c r="AL180" s="7">
        <f t="shared" si="335"/>
        <v>23</v>
      </c>
      <c r="AM180" s="7">
        <f t="shared" si="335"/>
        <v>16.849056603773583</v>
      </c>
      <c r="AN180" s="7">
        <f t="shared" si="335"/>
        <v>11.303030303030303</v>
      </c>
      <c r="AO180" s="7">
        <f t="shared" si="335"/>
        <v>13.923076923076923</v>
      </c>
      <c r="AP180" s="7">
        <f t="shared" si="335"/>
        <v>12.49090909090909</v>
      </c>
      <c r="AQ180" s="7">
        <f t="shared" si="335"/>
        <v>10.785714285714286</v>
      </c>
      <c r="AR180" s="7">
        <f t="shared" si="335"/>
        <v>9.8852459016393439</v>
      </c>
      <c r="AS180" s="7">
        <f t="shared" si="335"/>
        <v>6.5324675324675328</v>
      </c>
      <c r="AT180" s="7">
        <f t="shared" si="335"/>
        <v>7.2467532467532472</v>
      </c>
      <c r="AU180" s="7">
        <f t="shared" si="335"/>
        <v>4.8367346938775508</v>
      </c>
      <c r="AV180" s="7">
        <f t="shared" si="335"/>
        <v>3.8018018018018016</v>
      </c>
      <c r="AW180" s="7">
        <f t="shared" si="335"/>
        <v>4.1287128712871288</v>
      </c>
      <c r="AX180" s="7">
        <f t="shared" si="335"/>
        <v>2.8951612903225805</v>
      </c>
      <c r="AY180" s="7">
        <f t="shared" si="335"/>
        <v>2.3333333333333335</v>
      </c>
      <c r="AZ180" s="7">
        <f t="shared" si="335"/>
        <v>2.0588235294117645</v>
      </c>
      <c r="BA180" s="7">
        <f t="shared" si="335"/>
        <v>1.7197452229299364</v>
      </c>
      <c r="BB180" s="7">
        <f t="shared" si="335"/>
        <v>1.325</v>
      </c>
      <c r="BC180" s="7">
        <f t="shared" si="335"/>
        <v>0.90256410256410258</v>
      </c>
      <c r="BD180" s="7">
        <f t="shared" si="335"/>
        <v>0.67788461538461542</v>
      </c>
      <c r="BE180" s="7">
        <f t="shared" si="335"/>
        <v>0.53271028037383172</v>
      </c>
      <c r="BF180" s="7">
        <f t="shared" si="335"/>
        <v>0.36199095022624433</v>
      </c>
      <c r="BG180" s="7">
        <f t="shared" si="335"/>
        <v>0.30125523012552302</v>
      </c>
      <c r="BH180" s="7">
        <f t="shared" si="335"/>
        <v>0.15053763440860216</v>
      </c>
      <c r="BI180" s="7">
        <f t="shared" si="335"/>
        <v>0.13357400722021662</v>
      </c>
      <c r="BJ180" s="7">
        <f t="shared" si="335"/>
        <v>7.6923076923076927E-2</v>
      </c>
      <c r="BK180" s="7">
        <f t="shared" si="335"/>
        <v>4.7393364928909949E-2</v>
      </c>
      <c r="BL180" s="7">
        <f t="shared" si="335"/>
        <v>1.2048192771084338E-2</v>
      </c>
      <c r="BM180" s="7">
        <f t="shared" si="335"/>
        <v>-6.0827250608272508E-2</v>
      </c>
      <c r="BN180" s="7">
        <f t="shared" si="335"/>
        <v>-5.0997782705099776E-2</v>
      </c>
      <c r="BO180" s="7">
        <f t="shared" ref="BO180:CY180" si="336">BO132/BO33</f>
        <v>-4.377880184331797E-2</v>
      </c>
      <c r="BP180" s="7">
        <f t="shared" si="336"/>
        <v>1.0416666666666666E-2</v>
      </c>
      <c r="BQ180" s="7">
        <f t="shared" si="336"/>
        <v>-5.9405940594059403E-2</v>
      </c>
      <c r="BR180" s="7">
        <f t="shared" si="336"/>
        <v>-3.8934426229508198E-2</v>
      </c>
      <c r="BS180" s="7">
        <f t="shared" si="336"/>
        <v>1.5717092337917484E-2</v>
      </c>
      <c r="BT180" s="7">
        <f t="shared" si="336"/>
        <v>-1.953125E-3</v>
      </c>
      <c r="BU180" s="7">
        <f t="shared" si="336"/>
        <v>1.8691588785046728E-2</v>
      </c>
      <c r="BV180" s="7">
        <f t="shared" si="336"/>
        <v>1.890359168241966E-3</v>
      </c>
      <c r="BW180" s="7">
        <f t="shared" si="336"/>
        <v>1.1570247933884297E-2</v>
      </c>
      <c r="BX180" s="7">
        <f t="shared" si="336"/>
        <v>-1.6286644951140065E-2</v>
      </c>
      <c r="BY180" s="7">
        <f t="shared" si="336"/>
        <v>5.7061340941512127E-3</v>
      </c>
      <c r="BZ180" s="7">
        <f t="shared" si="336"/>
        <v>3.472222222222222E-3</v>
      </c>
      <c r="CA180" s="7">
        <f t="shared" si="336"/>
        <v>1.0112359550561797E-2</v>
      </c>
      <c r="CB180" s="7">
        <f t="shared" si="336"/>
        <v>0</v>
      </c>
      <c r="CC180" s="7">
        <f t="shared" si="336"/>
        <v>0</v>
      </c>
      <c r="CD180" s="7">
        <f t="shared" si="336"/>
        <v>1.7605633802816902E-3</v>
      </c>
      <c r="CE180" s="7">
        <f t="shared" si="336"/>
        <v>5.422153369481022E-3</v>
      </c>
      <c r="CF180" s="7">
        <f t="shared" si="336"/>
        <v>-7.2254335260115603E-4</v>
      </c>
      <c r="CG180" s="7">
        <f t="shared" si="336"/>
        <v>2.0026702269692926E-3</v>
      </c>
      <c r="CH180" s="7">
        <f t="shared" si="336"/>
        <v>1.7867778439547349E-3</v>
      </c>
      <c r="CI180" s="7">
        <f t="shared" si="336"/>
        <v>2.3094688221709007E-3</v>
      </c>
      <c r="CJ180" s="7">
        <f t="shared" si="336"/>
        <v>1.1068068622025456E-3</v>
      </c>
      <c r="CK180" s="7">
        <f t="shared" si="336"/>
        <v>3.7433155080213902E-3</v>
      </c>
      <c r="CL180" s="7">
        <f t="shared" si="336"/>
        <v>0</v>
      </c>
      <c r="CM180" s="7">
        <f t="shared" si="336"/>
        <v>3.1766200762388818E-3</v>
      </c>
      <c r="CN180" s="7">
        <f t="shared" si="336"/>
        <v>2.4375380865326022E-3</v>
      </c>
      <c r="CO180" s="7">
        <f t="shared" si="336"/>
        <v>-2.5789813023855577E-3</v>
      </c>
      <c r="CP180" s="7">
        <f t="shared" si="336"/>
        <v>7.4626865671641792E-4</v>
      </c>
      <c r="CQ180" s="7">
        <f t="shared" si="336"/>
        <v>-1.7050298380221654E-3</v>
      </c>
      <c r="CR180" s="7">
        <f t="shared" si="336"/>
        <v>9.7370983446932818E-4</v>
      </c>
      <c r="CS180" s="7">
        <f t="shared" si="336"/>
        <v>3.4443168771526979E-3</v>
      </c>
      <c r="CT180" s="7">
        <f t="shared" si="336"/>
        <v>-3.9840637450199202E-3</v>
      </c>
      <c r="CU180" s="7">
        <f t="shared" si="336"/>
        <v>0</v>
      </c>
      <c r="CV180" s="7">
        <f t="shared" si="336"/>
        <v>0</v>
      </c>
      <c r="CW180" s="7">
        <f t="shared" si="336"/>
        <v>-9.74025974025974E-3</v>
      </c>
      <c r="CX180" s="7">
        <f t="shared" si="336"/>
        <v>9.7087378640776691E-3</v>
      </c>
      <c r="CY180" s="7">
        <f t="shared" si="336"/>
        <v>0</v>
      </c>
    </row>
    <row r="181" spans="1:103" x14ac:dyDescent="0.3">
      <c r="A181" s="10">
        <v>2008</v>
      </c>
      <c r="C181" s="7">
        <f t="shared" ref="C181:BN181" si="337">C133/C34</f>
        <v>5.9520547945205475</v>
      </c>
      <c r="D181" s="7">
        <f t="shared" si="337"/>
        <v>30.208333333333332</v>
      </c>
      <c r="E181" s="7">
        <f t="shared" si="337"/>
        <v>31.75</v>
      </c>
      <c r="F181" s="7">
        <f t="shared" si="337"/>
        <v>48.6</v>
      </c>
      <c r="G181" s="7">
        <f t="shared" si="337"/>
        <v>149</v>
      </c>
      <c r="H181" s="7">
        <f t="shared" si="337"/>
        <v>61.428571428571431</v>
      </c>
      <c r="I181" s="7">
        <f t="shared" si="337"/>
        <v>74</v>
      </c>
      <c r="J181" s="7">
        <f t="shared" si="337"/>
        <v>83</v>
      </c>
      <c r="K181" s="7">
        <f t="shared" si="337"/>
        <v>68.333333333333329</v>
      </c>
      <c r="L181" s="7">
        <f t="shared" si="337"/>
        <v>72.333333333333329</v>
      </c>
      <c r="M181" s="7">
        <f t="shared" si="337"/>
        <v>76.666666666666671</v>
      </c>
      <c r="N181" s="7">
        <f t="shared" si="337"/>
        <v>98</v>
      </c>
      <c r="O181" s="7">
        <f t="shared" si="337"/>
        <v>135</v>
      </c>
      <c r="P181" s="7">
        <f t="shared" si="337"/>
        <v>50</v>
      </c>
      <c r="Q181" s="7">
        <f t="shared" si="337"/>
        <v>46.5</v>
      </c>
      <c r="R181" s="7">
        <f t="shared" si="337"/>
        <v>41.4</v>
      </c>
      <c r="S181" s="7">
        <f t="shared" si="337"/>
        <v>37.18181818181818</v>
      </c>
      <c r="T181" s="7">
        <f t="shared" si="337"/>
        <v>24.666666666666668</v>
      </c>
      <c r="U181" s="7">
        <f t="shared" si="337"/>
        <v>21.866666666666667</v>
      </c>
      <c r="V181" s="7">
        <f t="shared" si="337"/>
        <v>19.571428571428573</v>
      </c>
      <c r="W181" s="7">
        <f t="shared" si="337"/>
        <v>24.351351351351351</v>
      </c>
      <c r="X181" s="7">
        <f t="shared" si="337"/>
        <v>36.303030303030305</v>
      </c>
      <c r="Y181" s="7">
        <f t="shared" si="337"/>
        <v>58.36</v>
      </c>
      <c r="Z181" s="7">
        <f t="shared" si="337"/>
        <v>42.769230769230766</v>
      </c>
      <c r="AA181" s="7">
        <f t="shared" si="337"/>
        <v>62.87096774193548</v>
      </c>
      <c r="AB181" s="7">
        <f t="shared" si="337"/>
        <v>47.906976744186046</v>
      </c>
      <c r="AC181" s="7">
        <f t="shared" si="337"/>
        <v>59.878787878787875</v>
      </c>
      <c r="AD181" s="7">
        <f t="shared" si="337"/>
        <v>52.487179487179489</v>
      </c>
      <c r="AE181" s="7">
        <f t="shared" si="337"/>
        <v>50.405405405405403</v>
      </c>
      <c r="AF181" s="7">
        <f t="shared" si="337"/>
        <v>45.162162162162161</v>
      </c>
      <c r="AG181" s="7">
        <f t="shared" si="337"/>
        <v>34</v>
      </c>
      <c r="AH181" s="7">
        <f t="shared" si="337"/>
        <v>59.695652173913047</v>
      </c>
      <c r="AI181" s="7">
        <f t="shared" si="337"/>
        <v>37.03125</v>
      </c>
      <c r="AJ181" s="7">
        <f t="shared" si="337"/>
        <v>23.06</v>
      </c>
      <c r="AK181" s="7">
        <f t="shared" si="337"/>
        <v>20.942307692307693</v>
      </c>
      <c r="AL181" s="7">
        <f t="shared" si="337"/>
        <v>22.813953488372093</v>
      </c>
      <c r="AM181" s="7">
        <f t="shared" si="337"/>
        <v>18.51923076923077</v>
      </c>
      <c r="AN181" s="7">
        <f t="shared" si="337"/>
        <v>16.568627450980394</v>
      </c>
      <c r="AO181" s="7">
        <f t="shared" si="337"/>
        <v>11.136363636363637</v>
      </c>
      <c r="AP181" s="7">
        <f t="shared" si="337"/>
        <v>11.287878787878787</v>
      </c>
      <c r="AQ181" s="7">
        <f t="shared" si="337"/>
        <v>9.2567567567567561</v>
      </c>
      <c r="AR181" s="7">
        <f t="shared" si="337"/>
        <v>8.9558823529411757</v>
      </c>
      <c r="AS181" s="7">
        <f t="shared" si="337"/>
        <v>7.8857142857142861</v>
      </c>
      <c r="AT181" s="7">
        <f t="shared" si="337"/>
        <v>5.655913978494624</v>
      </c>
      <c r="AU181" s="7">
        <f t="shared" si="337"/>
        <v>5.2222222222222223</v>
      </c>
      <c r="AV181" s="7">
        <f t="shared" si="337"/>
        <v>5.0879120879120876</v>
      </c>
      <c r="AW181" s="7">
        <f t="shared" si="337"/>
        <v>4.0510204081632653</v>
      </c>
      <c r="AX181" s="7">
        <f t="shared" si="337"/>
        <v>3.6346153846153846</v>
      </c>
      <c r="AY181" s="7">
        <f t="shared" si="337"/>
        <v>2.5177304964539009</v>
      </c>
      <c r="AZ181" s="7">
        <f t="shared" si="337"/>
        <v>2.3165467625899279</v>
      </c>
      <c r="BA181" s="7">
        <f t="shared" si="337"/>
        <v>1.8296296296296297</v>
      </c>
      <c r="BB181" s="7">
        <f t="shared" si="337"/>
        <v>1.1005917159763314</v>
      </c>
      <c r="BC181" s="7">
        <f t="shared" si="337"/>
        <v>1.1368421052631579</v>
      </c>
      <c r="BD181" s="7">
        <f t="shared" si="337"/>
        <v>0.66820276497695852</v>
      </c>
      <c r="BE181" s="7">
        <f t="shared" si="337"/>
        <v>0.54285714285714282</v>
      </c>
      <c r="BF181" s="7">
        <f t="shared" si="337"/>
        <v>0.42922374429223742</v>
      </c>
      <c r="BG181" s="7">
        <f t="shared" si="337"/>
        <v>0.32916666666666666</v>
      </c>
      <c r="BH181" s="7">
        <f t="shared" si="337"/>
        <v>7.7220077220077222E-3</v>
      </c>
      <c r="BI181" s="7">
        <f t="shared" si="337"/>
        <v>0.17921146953405018</v>
      </c>
      <c r="BJ181" s="7">
        <f t="shared" si="337"/>
        <v>9.4936708860759497E-3</v>
      </c>
      <c r="BK181" s="7">
        <f t="shared" si="337"/>
        <v>6.7385444743935305E-2</v>
      </c>
      <c r="BL181" s="7">
        <f t="shared" si="337"/>
        <v>-8.9514066496163683E-2</v>
      </c>
      <c r="BM181" s="7">
        <f t="shared" si="337"/>
        <v>-9.719222462203024E-2</v>
      </c>
      <c r="BN181" s="7">
        <f t="shared" si="337"/>
        <v>7.8125E-3</v>
      </c>
      <c r="BO181" s="7">
        <f t="shared" ref="BO181:CY181" si="338">BO133/BO34</f>
        <v>-1.4462809917355372E-2</v>
      </c>
      <c r="BP181" s="7">
        <f t="shared" si="338"/>
        <v>-4.6511627906976744E-2</v>
      </c>
      <c r="BQ181" s="7">
        <f t="shared" si="338"/>
        <v>-1.0224948875255624E-2</v>
      </c>
      <c r="BR181" s="7">
        <f t="shared" si="338"/>
        <v>-4.1758241758241756E-2</v>
      </c>
      <c r="BS181" s="7">
        <f t="shared" si="338"/>
        <v>3.7523452157598499E-3</v>
      </c>
      <c r="BT181" s="7">
        <f t="shared" si="338"/>
        <v>3.6964980544747082E-2</v>
      </c>
      <c r="BU181" s="7">
        <f t="shared" si="338"/>
        <v>1.984126984126984E-2</v>
      </c>
      <c r="BV181" s="7">
        <f t="shared" si="338"/>
        <v>1.9031141868512111E-2</v>
      </c>
      <c r="BW181" s="7">
        <f t="shared" si="338"/>
        <v>-1.8181818181818181E-2</v>
      </c>
      <c r="BX181" s="7">
        <f t="shared" si="338"/>
        <v>1.8320610687022901E-2</v>
      </c>
      <c r="BY181" s="7">
        <f t="shared" si="338"/>
        <v>6.0882800608828003E-3</v>
      </c>
      <c r="BZ181" s="7">
        <f t="shared" si="338"/>
        <v>2.356020942408377E-2</v>
      </c>
      <c r="CA181" s="7">
        <f t="shared" si="338"/>
        <v>1.201923076923077E-2</v>
      </c>
      <c r="CB181" s="7">
        <f t="shared" si="338"/>
        <v>-7.3452256033578172E-3</v>
      </c>
      <c r="CC181" s="7">
        <f t="shared" si="338"/>
        <v>-1.8298261665141812E-3</v>
      </c>
      <c r="CD181" s="7">
        <f t="shared" si="338"/>
        <v>2.4834437086092716E-3</v>
      </c>
      <c r="CE181" s="7">
        <f t="shared" si="338"/>
        <v>-8.2169268693508624E-4</v>
      </c>
      <c r="CF181" s="7">
        <f t="shared" si="338"/>
        <v>1.5128593040847202E-3</v>
      </c>
      <c r="CG181" s="7">
        <f t="shared" si="338"/>
        <v>6.3291139240506328E-3</v>
      </c>
      <c r="CH181" s="7">
        <f t="shared" si="338"/>
        <v>0</v>
      </c>
      <c r="CI181" s="7">
        <f t="shared" si="338"/>
        <v>-2.9446407538280331E-3</v>
      </c>
      <c r="CJ181" s="7">
        <f t="shared" si="338"/>
        <v>3.9392234102419805E-3</v>
      </c>
      <c r="CK181" s="7">
        <f t="shared" si="338"/>
        <v>1.6835016835016834E-3</v>
      </c>
      <c r="CL181" s="7">
        <f t="shared" si="338"/>
        <v>-2.6136957658128594E-3</v>
      </c>
      <c r="CM181" s="7">
        <f t="shared" si="338"/>
        <v>5.2056220718375845E-4</v>
      </c>
      <c r="CN181" s="7">
        <f t="shared" si="338"/>
        <v>0</v>
      </c>
      <c r="CO181" s="7">
        <f t="shared" si="338"/>
        <v>-3.324468085106383E-3</v>
      </c>
      <c r="CP181" s="7">
        <f t="shared" si="338"/>
        <v>2.7991602519244225E-3</v>
      </c>
      <c r="CQ181" s="7">
        <f t="shared" si="338"/>
        <v>2.3566378633150041E-3</v>
      </c>
      <c r="CR181" s="7">
        <f t="shared" si="338"/>
        <v>-1.9455252918287938E-3</v>
      </c>
      <c r="CS181" s="7">
        <f t="shared" si="338"/>
        <v>-2.2805017103762829E-3</v>
      </c>
      <c r="CT181" s="7">
        <f t="shared" si="338"/>
        <v>0</v>
      </c>
      <c r="CU181" s="7">
        <f t="shared" si="338"/>
        <v>0</v>
      </c>
      <c r="CV181" s="7">
        <f t="shared" si="338"/>
        <v>-2.4271844660194173E-3</v>
      </c>
      <c r="CW181" s="7">
        <f t="shared" si="338"/>
        <v>-3.1250000000000002E-3</v>
      </c>
      <c r="CX181" s="7">
        <f t="shared" si="338"/>
        <v>1.015228426395939E-2</v>
      </c>
      <c r="CY181" s="7">
        <f t="shared" si="338"/>
        <v>-6.1728395061728392E-3</v>
      </c>
    </row>
    <row r="182" spans="1:103" x14ac:dyDescent="0.3">
      <c r="A182" s="10">
        <v>2009</v>
      </c>
      <c r="C182" s="7">
        <f t="shared" ref="C182:BN182" si="339">C134/C35</f>
        <v>5.6975308641975309</v>
      </c>
      <c r="D182" s="7">
        <f t="shared" si="339"/>
        <v>20.352941176470587</v>
      </c>
      <c r="E182" s="7">
        <f t="shared" si="339"/>
        <v>40.428571428571431</v>
      </c>
      <c r="F182" s="7">
        <f t="shared" si="339"/>
        <v>46.7</v>
      </c>
      <c r="G182" s="7">
        <f t="shared" si="339"/>
        <v>61.875</v>
      </c>
      <c r="H182" s="7">
        <f t="shared" si="339"/>
        <v>91.25</v>
      </c>
      <c r="I182" s="7">
        <f t="shared" si="339"/>
        <v>65.833333333333329</v>
      </c>
      <c r="J182" s="7">
        <f t="shared" si="339"/>
        <v>43.666666666666664</v>
      </c>
      <c r="K182" s="7">
        <f t="shared" si="339"/>
        <v>104.25</v>
      </c>
      <c r="L182" s="7">
        <f t="shared" si="339"/>
        <v>60.714285714285715</v>
      </c>
      <c r="M182" s="7">
        <f t="shared" si="339"/>
        <v>68.333333333333329</v>
      </c>
      <c r="N182" s="7">
        <f t="shared" si="339"/>
        <v>102.25</v>
      </c>
      <c r="O182" s="7">
        <f t="shared" si="339"/>
        <v>50.625</v>
      </c>
      <c r="P182" s="7">
        <f t="shared" si="339"/>
        <v>70.333333333333329</v>
      </c>
      <c r="Q182" s="7">
        <f t="shared" si="339"/>
        <v>137.33333333333334</v>
      </c>
      <c r="R182" s="7">
        <f t="shared" si="339"/>
        <v>48.545454545454547</v>
      </c>
      <c r="S182" s="7">
        <f t="shared" si="339"/>
        <v>54.416666666666664</v>
      </c>
      <c r="T182" s="7">
        <f t="shared" si="339"/>
        <v>24.64</v>
      </c>
      <c r="U182" s="7">
        <f t="shared" si="339"/>
        <v>26.653846153846153</v>
      </c>
      <c r="V182" s="7">
        <f t="shared" si="339"/>
        <v>17.351351351351351</v>
      </c>
      <c r="W182" s="7">
        <f t="shared" si="339"/>
        <v>20</v>
      </c>
      <c r="X182" s="7">
        <f t="shared" si="339"/>
        <v>34.633333333333333</v>
      </c>
      <c r="Y182" s="7">
        <f t="shared" si="339"/>
        <v>62.81818181818182</v>
      </c>
      <c r="Z182" s="7">
        <f t="shared" si="339"/>
        <v>56.928571428571431</v>
      </c>
      <c r="AA182" s="7">
        <f t="shared" si="339"/>
        <v>70.370370370370367</v>
      </c>
      <c r="AB182" s="7">
        <f t="shared" si="339"/>
        <v>52.324324324324323</v>
      </c>
      <c r="AC182" s="7">
        <f t="shared" si="339"/>
        <v>55.25</v>
      </c>
      <c r="AD182" s="7">
        <f t="shared" si="339"/>
        <v>40.205128205128204</v>
      </c>
      <c r="AE182" s="7">
        <f t="shared" si="339"/>
        <v>40.615384615384613</v>
      </c>
      <c r="AF182" s="7">
        <f t="shared" si="339"/>
        <v>24.942307692307693</v>
      </c>
      <c r="AG182" s="7">
        <f t="shared" si="339"/>
        <v>38.125</v>
      </c>
      <c r="AH182" s="7">
        <f t="shared" si="339"/>
        <v>28.111111111111111</v>
      </c>
      <c r="AI182" s="7">
        <f t="shared" si="339"/>
        <v>18.26530612244898</v>
      </c>
      <c r="AJ182" s="7">
        <f t="shared" si="339"/>
        <v>24.23076923076923</v>
      </c>
      <c r="AK182" s="7">
        <f t="shared" si="339"/>
        <v>18.59090909090909</v>
      </c>
      <c r="AL182" s="7">
        <f t="shared" si="339"/>
        <v>15.531914893617021</v>
      </c>
      <c r="AM182" s="7">
        <f t="shared" si="339"/>
        <v>12.2</v>
      </c>
      <c r="AN182" s="7">
        <f t="shared" si="339"/>
        <v>9.8852459016393439</v>
      </c>
      <c r="AO182" s="7">
        <f t="shared" si="339"/>
        <v>10.672131147540984</v>
      </c>
      <c r="AP182" s="7">
        <f t="shared" si="339"/>
        <v>10.078431372549019</v>
      </c>
      <c r="AQ182" s="7">
        <f t="shared" si="339"/>
        <v>6.929577464788732</v>
      </c>
      <c r="AR182" s="7">
        <f t="shared" si="339"/>
        <v>7.0142857142857142</v>
      </c>
      <c r="AS182" s="7">
        <f t="shared" si="339"/>
        <v>5.7631578947368425</v>
      </c>
      <c r="AT182" s="7">
        <f t="shared" si="339"/>
        <v>4.387096774193548</v>
      </c>
      <c r="AU182" s="7">
        <f t="shared" si="339"/>
        <v>4.189473684210526</v>
      </c>
      <c r="AV182" s="7">
        <f t="shared" si="339"/>
        <v>3.3225806451612905</v>
      </c>
      <c r="AW182" s="7">
        <f t="shared" si="339"/>
        <v>2.7570093457943927</v>
      </c>
      <c r="AX182" s="7">
        <f t="shared" si="339"/>
        <v>2.5142857142857142</v>
      </c>
      <c r="AY182" s="7">
        <f t="shared" si="339"/>
        <v>1.6031746031746033</v>
      </c>
      <c r="AZ182" s="7">
        <f t="shared" si="339"/>
        <v>1.8686131386861313</v>
      </c>
      <c r="BA182" s="7">
        <f t="shared" si="339"/>
        <v>1.2802547770700636</v>
      </c>
      <c r="BB182" s="7">
        <f t="shared" si="339"/>
        <v>0.78787878787878785</v>
      </c>
      <c r="BC182" s="7">
        <f t="shared" si="339"/>
        <v>0.68686868686868685</v>
      </c>
      <c r="BD182" s="7">
        <f t="shared" si="339"/>
        <v>0.62222222222222223</v>
      </c>
      <c r="BE182" s="7">
        <f t="shared" si="339"/>
        <v>0.45</v>
      </c>
      <c r="BF182" s="7">
        <f t="shared" si="339"/>
        <v>0.22421524663677131</v>
      </c>
      <c r="BG182" s="7">
        <f t="shared" si="339"/>
        <v>0.36862745098039218</v>
      </c>
      <c r="BH182" s="7">
        <f t="shared" si="339"/>
        <v>0.14919354838709678</v>
      </c>
      <c r="BI182" s="7">
        <f t="shared" si="339"/>
        <v>0.32752613240418116</v>
      </c>
      <c r="BJ182" s="7">
        <f t="shared" si="339"/>
        <v>0.24620060790273557</v>
      </c>
      <c r="BK182" s="7">
        <f t="shared" si="339"/>
        <v>4.4321329639889197E-2</v>
      </c>
      <c r="BL182" s="7">
        <f t="shared" si="339"/>
        <v>6.1497326203208559E-2</v>
      </c>
      <c r="BM182" s="7">
        <f t="shared" si="339"/>
        <v>-5.6074766355140186E-2</v>
      </c>
      <c r="BN182" s="7">
        <f t="shared" si="339"/>
        <v>-3.952569169960474E-3</v>
      </c>
      <c r="BO182" s="7">
        <f t="shared" ref="BO182:CY182" si="340">BO134/BO35</f>
        <v>-2.1739130434782608E-2</v>
      </c>
      <c r="BP182" s="7">
        <f t="shared" si="340"/>
        <v>6.0483870967741934E-3</v>
      </c>
      <c r="BQ182" s="7">
        <f t="shared" si="340"/>
        <v>-3.9840637450199202E-3</v>
      </c>
      <c r="BR182" s="7">
        <f t="shared" si="340"/>
        <v>-1.7892644135188866E-2</v>
      </c>
      <c r="BS182" s="7">
        <f t="shared" si="340"/>
        <v>-1.0245901639344262E-2</v>
      </c>
      <c r="BT182" s="7">
        <f t="shared" si="340"/>
        <v>3.4136546184738957E-2</v>
      </c>
      <c r="BU182" s="7">
        <f t="shared" si="340"/>
        <v>2.6086956521739129E-2</v>
      </c>
      <c r="BV182" s="7">
        <f t="shared" si="340"/>
        <v>4.6391752577319589E-2</v>
      </c>
      <c r="BW182" s="7">
        <f t="shared" si="340"/>
        <v>6.097560975609756E-2</v>
      </c>
      <c r="BX182" s="7">
        <f t="shared" si="340"/>
        <v>4.2925278219395867E-2</v>
      </c>
      <c r="BY182" s="7">
        <f t="shared" si="340"/>
        <v>1.0401188707280832E-2</v>
      </c>
      <c r="BZ182" s="7">
        <f t="shared" si="340"/>
        <v>1.8080667593880391E-2</v>
      </c>
      <c r="CA182" s="7">
        <f t="shared" si="340"/>
        <v>1.7766497461928935E-2</v>
      </c>
      <c r="CB182" s="7">
        <f t="shared" si="340"/>
        <v>2.2396416573348264E-2</v>
      </c>
      <c r="CC182" s="7">
        <f t="shared" si="340"/>
        <v>7.9681274900398405E-3</v>
      </c>
      <c r="CD182" s="7">
        <f t="shared" si="340"/>
        <v>5.5401662049861496E-3</v>
      </c>
      <c r="CE182" s="7">
        <f t="shared" si="340"/>
        <v>9.1286307053941914E-3</v>
      </c>
      <c r="CF182" s="7">
        <f t="shared" si="340"/>
        <v>3.8491147036181679E-3</v>
      </c>
      <c r="CG182" s="7">
        <f t="shared" si="340"/>
        <v>3.7037037037037038E-3</v>
      </c>
      <c r="CH182" s="7">
        <f t="shared" si="340"/>
        <v>5.235602094240838E-3</v>
      </c>
      <c r="CI182" s="7">
        <f t="shared" si="340"/>
        <v>-4.3750000000000004E-3</v>
      </c>
      <c r="CJ182" s="7">
        <f t="shared" si="340"/>
        <v>5.9066745422327229E-3</v>
      </c>
      <c r="CK182" s="7">
        <f t="shared" si="340"/>
        <v>-3.2715376226826608E-3</v>
      </c>
      <c r="CL182" s="7">
        <f t="shared" si="340"/>
        <v>3.3994334277620396E-3</v>
      </c>
      <c r="CM182" s="7">
        <f t="shared" si="340"/>
        <v>6.7001675041876048E-3</v>
      </c>
      <c r="CN182" s="7">
        <f t="shared" si="340"/>
        <v>0</v>
      </c>
      <c r="CO182" s="7">
        <f t="shared" si="340"/>
        <v>-6.8306010928961749E-4</v>
      </c>
      <c r="CP182" s="7">
        <f t="shared" si="340"/>
        <v>-7.1942446043165469E-4</v>
      </c>
      <c r="CQ182" s="7">
        <f t="shared" si="340"/>
        <v>1.5163002274450341E-3</v>
      </c>
      <c r="CR182" s="7">
        <f t="shared" si="340"/>
        <v>-3.8986354775828458E-3</v>
      </c>
      <c r="CS182" s="7">
        <f t="shared" si="340"/>
        <v>4.410143329658214E-3</v>
      </c>
      <c r="CT182" s="7">
        <f t="shared" si="340"/>
        <v>-5.5944055944055944E-3</v>
      </c>
      <c r="CU182" s="7">
        <f t="shared" si="340"/>
        <v>1.6339869281045752E-3</v>
      </c>
      <c r="CV182" s="7">
        <f t="shared" si="340"/>
        <v>-4.1493775933609959E-3</v>
      </c>
      <c r="CW182" s="7">
        <f t="shared" si="340"/>
        <v>0</v>
      </c>
      <c r="CX182" s="7">
        <f t="shared" si="340"/>
        <v>4.3103448275862068E-3</v>
      </c>
      <c r="CY182" s="7">
        <f t="shared" si="340"/>
        <v>-6.4935064935064939E-3</v>
      </c>
    </row>
    <row r="183" spans="1:103" x14ac:dyDescent="0.3">
      <c r="A183" s="10">
        <v>2010</v>
      </c>
      <c r="C183" s="7">
        <f t="shared" ref="C183:BN183" si="341">C135/C36</f>
        <v>6.333333333333333</v>
      </c>
      <c r="D183" s="7">
        <f t="shared" si="341"/>
        <v>20.941176470588236</v>
      </c>
      <c r="E183" s="7">
        <f t="shared" si="341"/>
        <v>77.75</v>
      </c>
      <c r="F183" s="7">
        <f t="shared" si="341"/>
        <v>95.25</v>
      </c>
      <c r="G183" s="7">
        <f t="shared" si="341"/>
        <v>67.5</v>
      </c>
      <c r="H183" s="7">
        <f t="shared" si="341"/>
        <v>122</v>
      </c>
      <c r="I183" s="7">
        <f t="shared" si="341"/>
        <v>57.833333333333336</v>
      </c>
      <c r="J183" s="7">
        <f t="shared" si="341"/>
        <v>73.400000000000006</v>
      </c>
      <c r="K183" s="7">
        <f t="shared" si="341"/>
        <v>115.66666666666667</v>
      </c>
      <c r="L183" s="7">
        <f t="shared" si="341"/>
        <v>53.285714285714285</v>
      </c>
      <c r="M183" s="7">
        <f t="shared" si="341"/>
        <v>39.9</v>
      </c>
      <c r="N183" s="7">
        <f t="shared" si="341"/>
        <v>189.5</v>
      </c>
      <c r="O183" s="7">
        <f t="shared" si="341"/>
        <v>366</v>
      </c>
      <c r="P183" s="7">
        <f t="shared" si="341"/>
        <v>45</v>
      </c>
      <c r="Q183" s="7">
        <f t="shared" si="341"/>
        <v>30.25</v>
      </c>
      <c r="R183" s="7">
        <f t="shared" si="341"/>
        <v>88.5</v>
      </c>
      <c r="S183" s="7">
        <f t="shared" si="341"/>
        <v>53.2</v>
      </c>
      <c r="T183" s="7">
        <f t="shared" si="341"/>
        <v>53.25</v>
      </c>
      <c r="U183" s="7">
        <f t="shared" si="341"/>
        <v>28.607142857142858</v>
      </c>
      <c r="V183" s="7">
        <f t="shared" si="341"/>
        <v>36.814814814814817</v>
      </c>
      <c r="W183" s="7">
        <f t="shared" si="341"/>
        <v>30.707317073170731</v>
      </c>
      <c r="X183" s="7">
        <f t="shared" si="341"/>
        <v>36.512195121951223</v>
      </c>
      <c r="Y183" s="7">
        <f t="shared" si="341"/>
        <v>66.962962962962962</v>
      </c>
      <c r="Z183" s="7">
        <f t="shared" si="341"/>
        <v>42.020408163265309</v>
      </c>
      <c r="AA183" s="7">
        <f t="shared" si="341"/>
        <v>75.607142857142861</v>
      </c>
      <c r="AB183" s="7">
        <f t="shared" si="341"/>
        <v>62.114285714285714</v>
      </c>
      <c r="AC183" s="7">
        <f t="shared" si="341"/>
        <v>66.387096774193552</v>
      </c>
      <c r="AD183" s="7">
        <f t="shared" si="341"/>
        <v>53.388888888888886</v>
      </c>
      <c r="AE183" s="7">
        <f t="shared" si="341"/>
        <v>40.4</v>
      </c>
      <c r="AF183" s="7">
        <f t="shared" si="341"/>
        <v>32.822222222222223</v>
      </c>
      <c r="AG183" s="7">
        <f t="shared" si="341"/>
        <v>24.782608695652176</v>
      </c>
      <c r="AH183" s="7">
        <f t="shared" si="341"/>
        <v>27.292682926829269</v>
      </c>
      <c r="AI183" s="7">
        <f t="shared" si="341"/>
        <v>42.555555555555557</v>
      </c>
      <c r="AJ183" s="7">
        <f t="shared" si="341"/>
        <v>26.054054054054053</v>
      </c>
      <c r="AK183" s="7">
        <f t="shared" si="341"/>
        <v>22.351351351351351</v>
      </c>
      <c r="AL183" s="7">
        <f t="shared" si="341"/>
        <v>18.565217391304348</v>
      </c>
      <c r="AM183" s="7">
        <f t="shared" si="341"/>
        <v>15</v>
      </c>
      <c r="AN183" s="7">
        <f t="shared" si="341"/>
        <v>13.081632653061224</v>
      </c>
      <c r="AO183" s="7">
        <f t="shared" si="341"/>
        <v>10.345454545454546</v>
      </c>
      <c r="AP183" s="7">
        <f t="shared" si="341"/>
        <v>11.061224489795919</v>
      </c>
      <c r="AQ183" s="7">
        <f t="shared" si="341"/>
        <v>9.2456140350877192</v>
      </c>
      <c r="AR183" s="7">
        <f t="shared" si="341"/>
        <v>7.3768115942028984</v>
      </c>
      <c r="AS183" s="7">
        <f t="shared" si="341"/>
        <v>4.9767441860465116</v>
      </c>
      <c r="AT183" s="7">
        <f t="shared" si="341"/>
        <v>4.9625000000000004</v>
      </c>
      <c r="AU183" s="7">
        <f t="shared" si="341"/>
        <v>3.8791208791208791</v>
      </c>
      <c r="AV183" s="7">
        <f t="shared" si="341"/>
        <v>4.0851063829787231</v>
      </c>
      <c r="AW183" s="7">
        <f t="shared" si="341"/>
        <v>3.3368421052631581</v>
      </c>
      <c r="AX183" s="7">
        <f t="shared" si="341"/>
        <v>2.6106194690265485</v>
      </c>
      <c r="AY183" s="7">
        <f t="shared" si="341"/>
        <v>1.5</v>
      </c>
      <c r="AZ183" s="7">
        <f t="shared" si="341"/>
        <v>1.6027397260273972</v>
      </c>
      <c r="BA183" s="7">
        <f t="shared" si="341"/>
        <v>1.1493506493506493</v>
      </c>
      <c r="BB183" s="7">
        <f t="shared" si="341"/>
        <v>1.1079545454545454</v>
      </c>
      <c r="BC183" s="7">
        <f t="shared" si="341"/>
        <v>0.78534031413612571</v>
      </c>
      <c r="BD183" s="7">
        <f t="shared" si="341"/>
        <v>0.62</v>
      </c>
      <c r="BE183" s="7">
        <f t="shared" si="341"/>
        <v>0.39908256880733944</v>
      </c>
      <c r="BF183" s="7">
        <f t="shared" si="341"/>
        <v>0.48416289592760181</v>
      </c>
      <c r="BG183" s="7">
        <f t="shared" si="341"/>
        <v>0.2029520295202952</v>
      </c>
      <c r="BH183" s="7">
        <f t="shared" si="341"/>
        <v>0.18382352941176472</v>
      </c>
      <c r="BI183" s="7">
        <f t="shared" si="341"/>
        <v>0.15384615384615385</v>
      </c>
      <c r="BJ183" s="7">
        <f t="shared" si="341"/>
        <v>0.14240506329113925</v>
      </c>
      <c r="BK183" s="7">
        <f t="shared" si="341"/>
        <v>4.6647230320699708E-2</v>
      </c>
      <c r="BL183" s="7">
        <f t="shared" si="341"/>
        <v>3.2608695652173912E-2</v>
      </c>
      <c r="BM183" s="7">
        <f t="shared" si="341"/>
        <v>-2.358490566037736E-2</v>
      </c>
      <c r="BN183" s="7">
        <f t="shared" si="341"/>
        <v>6.6000000000000003E-2</v>
      </c>
      <c r="BO183" s="7">
        <f t="shared" ref="BO183:CY183" si="342">BO135/BO36</f>
        <v>3.2786885245901641E-2</v>
      </c>
      <c r="BP183" s="7">
        <f t="shared" si="342"/>
        <v>1.0810810810810811E-2</v>
      </c>
      <c r="BQ183" s="7">
        <f t="shared" si="342"/>
        <v>-2.0408163265306121E-2</v>
      </c>
      <c r="BR183" s="7">
        <f t="shared" si="342"/>
        <v>-3.6496350364963501E-2</v>
      </c>
      <c r="BS183" s="7">
        <f t="shared" si="342"/>
        <v>5.7692307692307696E-3</v>
      </c>
      <c r="BT183" s="7">
        <f t="shared" si="342"/>
        <v>5.5658627087198514E-2</v>
      </c>
      <c r="BU183" s="7">
        <f t="shared" si="342"/>
        <v>-3.663003663003663E-3</v>
      </c>
      <c r="BV183" s="7">
        <f t="shared" si="342"/>
        <v>2.1311475409836064E-2</v>
      </c>
      <c r="BW183" s="7">
        <f t="shared" si="342"/>
        <v>0</v>
      </c>
      <c r="BX183" s="7">
        <f t="shared" si="342"/>
        <v>3.0581039755351682E-3</v>
      </c>
      <c r="BY183" s="7">
        <f t="shared" si="342"/>
        <v>1.6176470588235296E-2</v>
      </c>
      <c r="BZ183" s="7">
        <f t="shared" si="342"/>
        <v>-4.2194092827004216E-3</v>
      </c>
      <c r="CA183" s="7">
        <f t="shared" si="342"/>
        <v>1.3836477987421384E-2</v>
      </c>
      <c r="CB183" s="7">
        <f t="shared" si="342"/>
        <v>9.1428571428571435E-3</v>
      </c>
      <c r="CC183" s="7">
        <f t="shared" si="342"/>
        <v>8.3246618106139446E-3</v>
      </c>
      <c r="CD183" s="7">
        <f t="shared" si="342"/>
        <v>4.608294930875576E-3</v>
      </c>
      <c r="CE183" s="7">
        <f t="shared" si="342"/>
        <v>1.5720524017467249E-2</v>
      </c>
      <c r="CF183" s="7">
        <f t="shared" si="342"/>
        <v>2.3273855702094647E-3</v>
      </c>
      <c r="CG183" s="7">
        <f t="shared" si="342"/>
        <v>2.2590361445783132E-3</v>
      </c>
      <c r="CH183" s="7">
        <f t="shared" si="342"/>
        <v>-1.4084507042253522E-3</v>
      </c>
      <c r="CI183" s="7">
        <f t="shared" si="342"/>
        <v>5.0314465408805029E-3</v>
      </c>
      <c r="CJ183" s="7">
        <f t="shared" si="342"/>
        <v>4.5016077170418004E-3</v>
      </c>
      <c r="CK183" s="7">
        <f t="shared" si="342"/>
        <v>5.9101654846335696E-4</v>
      </c>
      <c r="CL183" s="7">
        <f t="shared" si="342"/>
        <v>-5.7836899942163096E-4</v>
      </c>
      <c r="CM183" s="7">
        <f t="shared" si="342"/>
        <v>2.8555111364934323E-3</v>
      </c>
      <c r="CN183" s="7">
        <f t="shared" si="342"/>
        <v>5.7971014492753622E-4</v>
      </c>
      <c r="CO183" s="7">
        <f t="shared" si="342"/>
        <v>1.1409013120365088E-3</v>
      </c>
      <c r="CP183" s="7">
        <f t="shared" si="342"/>
        <v>-7.1787508973438624E-4</v>
      </c>
      <c r="CQ183" s="7">
        <f t="shared" si="342"/>
        <v>2.2988505747126436E-3</v>
      </c>
      <c r="CR183" s="7">
        <f t="shared" si="342"/>
        <v>8.5910652920962198E-4</v>
      </c>
      <c r="CS183" s="7">
        <f t="shared" si="342"/>
        <v>-2.136752136752137E-3</v>
      </c>
      <c r="CT183" s="7">
        <f t="shared" si="342"/>
        <v>-1.3192612137203166E-3</v>
      </c>
      <c r="CU183" s="7">
        <f t="shared" si="342"/>
        <v>0</v>
      </c>
      <c r="CV183" s="7">
        <f t="shared" si="342"/>
        <v>0</v>
      </c>
      <c r="CW183" s="7">
        <f t="shared" si="342"/>
        <v>0</v>
      </c>
      <c r="CX183" s="7">
        <f t="shared" si="342"/>
        <v>0</v>
      </c>
      <c r="CY183" s="7">
        <f t="shared" si="342"/>
        <v>0</v>
      </c>
    </row>
    <row r="184" spans="1:103" x14ac:dyDescent="0.3">
      <c r="A184" s="10">
        <v>2011</v>
      </c>
      <c r="C184" s="7">
        <f t="shared" ref="C184:BN184" si="343">C136/C37</f>
        <v>7.4297520661157028</v>
      </c>
      <c r="D184" s="7">
        <f t="shared" si="343"/>
        <v>25.333333333333332</v>
      </c>
      <c r="E184" s="7">
        <f t="shared" si="343"/>
        <v>68.875</v>
      </c>
      <c r="F184" s="7">
        <f t="shared" si="343"/>
        <v>70.857142857142861</v>
      </c>
      <c r="G184" s="7">
        <f t="shared" si="343"/>
        <v>99.8</v>
      </c>
      <c r="H184" s="7">
        <f t="shared" si="343"/>
        <v>41.666666666666664</v>
      </c>
      <c r="I184" s="7">
        <f t="shared" si="343"/>
        <v>81.400000000000006</v>
      </c>
      <c r="J184" s="7">
        <f t="shared" si="343"/>
        <v>107.66666666666667</v>
      </c>
      <c r="K184" s="7">
        <f t="shared" si="343"/>
        <v>60.8</v>
      </c>
      <c r="L184" s="7">
        <f t="shared" si="343"/>
        <v>84.5</v>
      </c>
      <c r="M184" s="7">
        <f t="shared" si="343"/>
        <v>122</v>
      </c>
      <c r="N184" s="7">
        <f t="shared" si="343"/>
        <v>50.714285714285715</v>
      </c>
      <c r="O184" s="7">
        <f t="shared" si="343"/>
        <v>68.2</v>
      </c>
      <c r="P184" s="7">
        <f t="shared" si="343"/>
        <v>45.222222222222221</v>
      </c>
      <c r="Q184" s="7">
        <f t="shared" si="343"/>
        <v>92</v>
      </c>
      <c r="R184" s="7">
        <f t="shared" si="343"/>
        <v>36.46153846153846</v>
      </c>
      <c r="S184" s="7">
        <f t="shared" si="343"/>
        <v>31.3125</v>
      </c>
      <c r="T184" s="7">
        <f t="shared" si="343"/>
        <v>19</v>
      </c>
      <c r="U184" s="7">
        <f t="shared" si="343"/>
        <v>16.524999999999999</v>
      </c>
      <c r="V184" s="7">
        <f t="shared" si="343"/>
        <v>19.279069767441861</v>
      </c>
      <c r="W184" s="7">
        <f t="shared" si="343"/>
        <v>32.171428571428571</v>
      </c>
      <c r="X184" s="7">
        <f t="shared" si="343"/>
        <v>38.65</v>
      </c>
      <c r="Y184" s="7">
        <f t="shared" si="343"/>
        <v>47.384615384615387</v>
      </c>
      <c r="Z184" s="7">
        <f t="shared" si="343"/>
        <v>57.324324324324323</v>
      </c>
      <c r="AA184" s="7">
        <f t="shared" si="343"/>
        <v>93.192307692307693</v>
      </c>
      <c r="AB184" s="7">
        <f t="shared" si="343"/>
        <v>72.75</v>
      </c>
      <c r="AC184" s="7">
        <f t="shared" si="343"/>
        <v>96.391304347826093</v>
      </c>
      <c r="AD184" s="7">
        <f t="shared" si="343"/>
        <v>55.657894736842103</v>
      </c>
      <c r="AE184" s="7">
        <f t="shared" si="343"/>
        <v>61.6</v>
      </c>
      <c r="AF184" s="7">
        <f t="shared" si="343"/>
        <v>37.43181818181818</v>
      </c>
      <c r="AG184" s="7">
        <f t="shared" si="343"/>
        <v>41.216216216216218</v>
      </c>
      <c r="AH184" s="7">
        <f t="shared" si="343"/>
        <v>38.864864864864863</v>
      </c>
      <c r="AI184" s="7">
        <f t="shared" si="343"/>
        <v>24.46153846153846</v>
      </c>
      <c r="AJ184" s="7">
        <f t="shared" si="343"/>
        <v>24.156862745098039</v>
      </c>
      <c r="AK184" s="7">
        <f t="shared" si="343"/>
        <v>24.826086956521738</v>
      </c>
      <c r="AL184" s="7">
        <f t="shared" si="343"/>
        <v>26.125</v>
      </c>
      <c r="AM184" s="7">
        <f t="shared" si="343"/>
        <v>15.96551724137931</v>
      </c>
      <c r="AN184" s="7">
        <f t="shared" si="343"/>
        <v>17.38</v>
      </c>
      <c r="AO184" s="7">
        <f t="shared" si="343"/>
        <v>17.16</v>
      </c>
      <c r="AP184" s="7">
        <f t="shared" si="343"/>
        <v>12.298245614035087</v>
      </c>
      <c r="AQ184" s="7">
        <f t="shared" si="343"/>
        <v>11.903225806451612</v>
      </c>
      <c r="AR184" s="7">
        <f t="shared" si="343"/>
        <v>7.6235294117647054</v>
      </c>
      <c r="AS184" s="7">
        <f t="shared" si="343"/>
        <v>8.8461538461538467</v>
      </c>
      <c r="AT184" s="7">
        <f t="shared" si="343"/>
        <v>7.8</v>
      </c>
      <c r="AU184" s="7">
        <f t="shared" si="343"/>
        <v>4.4105263157894736</v>
      </c>
      <c r="AV184" s="7">
        <f t="shared" si="343"/>
        <v>5.3829787234042552</v>
      </c>
      <c r="AW184" s="7">
        <f t="shared" si="343"/>
        <v>3.299145299145299</v>
      </c>
      <c r="AX184" s="7">
        <f t="shared" si="343"/>
        <v>2.9917355371900825</v>
      </c>
      <c r="AY184" s="7">
        <f t="shared" si="343"/>
        <v>2.9674796747967478</v>
      </c>
      <c r="AZ184" s="7">
        <f t="shared" si="343"/>
        <v>2.174496644295302</v>
      </c>
      <c r="BA184" s="7">
        <f t="shared" si="343"/>
        <v>1.6428571428571428</v>
      </c>
      <c r="BB184" s="7">
        <f t="shared" si="343"/>
        <v>1.5686274509803921</v>
      </c>
      <c r="BC184" s="7">
        <f t="shared" si="343"/>
        <v>1.3926380368098159</v>
      </c>
      <c r="BD184" s="7">
        <f t="shared" si="343"/>
        <v>0.92268041237113407</v>
      </c>
      <c r="BE184" s="7">
        <f t="shared" si="343"/>
        <v>0.88725490196078427</v>
      </c>
      <c r="BF184" s="7">
        <f t="shared" si="343"/>
        <v>0.57599999999999996</v>
      </c>
      <c r="BG184" s="7">
        <f t="shared" si="343"/>
        <v>0.3046875</v>
      </c>
      <c r="BH184" s="7">
        <f t="shared" si="343"/>
        <v>0.28368794326241137</v>
      </c>
      <c r="BI184" s="7">
        <f t="shared" si="343"/>
        <v>0.12773722627737227</v>
      </c>
      <c r="BJ184" s="7">
        <f t="shared" si="343"/>
        <v>0.14984709480122324</v>
      </c>
      <c r="BK184" s="7">
        <f t="shared" si="343"/>
        <v>0.16307692307692306</v>
      </c>
      <c r="BL184" s="7">
        <f t="shared" si="343"/>
        <v>-9.6000000000000002E-2</v>
      </c>
      <c r="BM184" s="7">
        <f t="shared" si="343"/>
        <v>-5.2369077306733167E-2</v>
      </c>
      <c r="BN184" s="7">
        <f t="shared" si="343"/>
        <v>-2.1413276231263382E-2</v>
      </c>
      <c r="BO184" s="7">
        <f t="shared" ref="BO184:CY184" si="344">BO136/BO37</f>
        <v>-3.9080459770114942E-2</v>
      </c>
      <c r="BP184" s="7">
        <f t="shared" si="344"/>
        <v>-1.5126050420168067E-2</v>
      </c>
      <c r="BQ184" s="7">
        <f t="shared" si="344"/>
        <v>-6.4030131826741998E-2</v>
      </c>
      <c r="BR184" s="7">
        <f t="shared" si="344"/>
        <v>1.1494252873563218E-2</v>
      </c>
      <c r="BS184" s="7">
        <f t="shared" si="344"/>
        <v>-1.9784172661870502E-2</v>
      </c>
      <c r="BT184" s="7">
        <f t="shared" si="344"/>
        <v>-8.9928057553956831E-3</v>
      </c>
      <c r="BU184" s="7">
        <f t="shared" si="344"/>
        <v>-3.9603960396039604E-3</v>
      </c>
      <c r="BV184" s="7">
        <f t="shared" si="344"/>
        <v>5.7093425605536333E-2</v>
      </c>
      <c r="BW184" s="7">
        <f t="shared" si="344"/>
        <v>4.1467304625199361E-2</v>
      </c>
      <c r="BX184" s="7">
        <f t="shared" si="344"/>
        <v>-1.6566265060240965E-2</v>
      </c>
      <c r="BY184" s="7">
        <f t="shared" si="344"/>
        <v>-9.6286107290233843E-3</v>
      </c>
      <c r="BZ184" s="7">
        <f t="shared" si="344"/>
        <v>1.9417475728155338E-2</v>
      </c>
      <c r="CA184" s="7">
        <f t="shared" si="344"/>
        <v>8.0213903743315516E-3</v>
      </c>
      <c r="CB184" s="7">
        <f t="shared" si="344"/>
        <v>1.0739856801909307E-2</v>
      </c>
      <c r="CC184" s="7">
        <f t="shared" si="344"/>
        <v>0</v>
      </c>
      <c r="CD184" s="7">
        <f t="shared" si="344"/>
        <v>1.1428571428571429E-2</v>
      </c>
      <c r="CE184" s="7">
        <f t="shared" si="344"/>
        <v>1.7559262510974539E-3</v>
      </c>
      <c r="CF184" s="7">
        <f t="shared" si="344"/>
        <v>6.1728395061728392E-3</v>
      </c>
      <c r="CG184" s="7">
        <f t="shared" si="344"/>
        <v>-4.0000000000000001E-3</v>
      </c>
      <c r="CH184" s="7">
        <f t="shared" si="344"/>
        <v>4.329004329004329E-3</v>
      </c>
      <c r="CI184" s="7">
        <f t="shared" si="344"/>
        <v>0</v>
      </c>
      <c r="CJ184" s="7">
        <f t="shared" si="344"/>
        <v>1.2539184952978057E-3</v>
      </c>
      <c r="CK184" s="7">
        <f t="shared" si="344"/>
        <v>-8.92325996430696E-3</v>
      </c>
      <c r="CL184" s="7">
        <f t="shared" si="344"/>
        <v>5.1457975986277877E-3</v>
      </c>
      <c r="CM184" s="7">
        <f t="shared" si="344"/>
        <v>1.1540680900173109E-3</v>
      </c>
      <c r="CN184" s="7">
        <f t="shared" si="344"/>
        <v>-1.7533606078316774E-3</v>
      </c>
      <c r="CO184" s="7">
        <f t="shared" si="344"/>
        <v>3.0883261272390363E-3</v>
      </c>
      <c r="CP184" s="7">
        <f t="shared" si="344"/>
        <v>5.7803468208092489E-4</v>
      </c>
      <c r="CQ184" s="7">
        <f t="shared" si="344"/>
        <v>-1.5527950310559005E-3</v>
      </c>
      <c r="CR184" s="7">
        <f t="shared" si="344"/>
        <v>1.7094017094017094E-3</v>
      </c>
      <c r="CS184" s="7">
        <f t="shared" si="344"/>
        <v>-1.9940179461615153E-3</v>
      </c>
      <c r="CT184" s="7">
        <f t="shared" si="344"/>
        <v>2.5806451612903226E-3</v>
      </c>
      <c r="CU184" s="7">
        <f t="shared" si="344"/>
        <v>3.0674846625766872E-3</v>
      </c>
      <c r="CV184" s="7">
        <f t="shared" si="344"/>
        <v>-2.0746887966804979E-3</v>
      </c>
      <c r="CW184" s="7">
        <f t="shared" si="344"/>
        <v>-2.9940119760479044E-3</v>
      </c>
      <c r="CX184" s="7">
        <f t="shared" si="344"/>
        <v>4.2194092827004216E-3</v>
      </c>
      <c r="CY184" s="7">
        <f t="shared" si="344"/>
        <v>-1.1560693641618497E-2</v>
      </c>
    </row>
    <row r="185" spans="1:103" x14ac:dyDescent="0.3">
      <c r="A185" s="10">
        <v>2012</v>
      </c>
      <c r="C185" s="7">
        <f t="shared" ref="C185:BN185" si="345">C137/C38</f>
        <v>7.6230769230769226</v>
      </c>
      <c r="D185" s="7">
        <f t="shared" si="345"/>
        <v>32.785714285714285</v>
      </c>
      <c r="E185" s="7">
        <f t="shared" si="345"/>
        <v>61.75</v>
      </c>
      <c r="F185" s="7">
        <f t="shared" si="345"/>
        <v>52.545454545454547</v>
      </c>
      <c r="G185" s="7">
        <f t="shared" si="345"/>
        <v>273.5</v>
      </c>
      <c r="H185" s="7">
        <f t="shared" si="345"/>
        <v>88.4</v>
      </c>
      <c r="I185" s="7">
        <f t="shared" si="345"/>
        <v>81.400000000000006</v>
      </c>
      <c r="J185" s="7">
        <f t="shared" si="345"/>
        <v>99.75</v>
      </c>
      <c r="K185" s="7">
        <f t="shared" si="345"/>
        <v>146.66666666666666</v>
      </c>
      <c r="L185" s="7">
        <f t="shared" si="345"/>
        <v>50.571428571428569</v>
      </c>
      <c r="M185" s="7">
        <f t="shared" si="345"/>
        <v>57.666666666666664</v>
      </c>
      <c r="N185" s="7">
        <f t="shared" si="345"/>
        <v>37.272727272727273</v>
      </c>
      <c r="O185" s="7">
        <f t="shared" si="345"/>
        <v>209</v>
      </c>
      <c r="P185" s="7">
        <f t="shared" si="345"/>
        <v>126.33333333333333</v>
      </c>
      <c r="Q185" s="7">
        <f t="shared" si="345"/>
        <v>39.454545454545453</v>
      </c>
      <c r="R185" s="7">
        <f t="shared" si="345"/>
        <v>44.083333333333336</v>
      </c>
      <c r="S185" s="7">
        <f t="shared" si="345"/>
        <v>56.3</v>
      </c>
      <c r="T185" s="7">
        <f t="shared" si="345"/>
        <v>29.529411764705884</v>
      </c>
      <c r="U185" s="7">
        <f t="shared" si="345"/>
        <v>50.533333333333331</v>
      </c>
      <c r="V185" s="7">
        <f t="shared" si="345"/>
        <v>43.727272727272727</v>
      </c>
      <c r="W185" s="7">
        <f t="shared" si="345"/>
        <v>43.086956521739133</v>
      </c>
      <c r="X185" s="7">
        <f t="shared" si="345"/>
        <v>48.178571428571431</v>
      </c>
      <c r="Y185" s="7">
        <f t="shared" si="345"/>
        <v>49.470588235294116</v>
      </c>
      <c r="Z185" s="7">
        <f t="shared" si="345"/>
        <v>89.36363636363636</v>
      </c>
      <c r="AA185" s="7">
        <f t="shared" si="345"/>
        <v>94.04</v>
      </c>
      <c r="AB185" s="7">
        <f t="shared" si="345"/>
        <v>90.333333333333329</v>
      </c>
      <c r="AC185" s="7">
        <f t="shared" si="345"/>
        <v>66.970588235294116</v>
      </c>
      <c r="AD185" s="7">
        <f t="shared" si="345"/>
        <v>62.647058823529413</v>
      </c>
      <c r="AE185" s="7">
        <f t="shared" si="345"/>
        <v>74.370370370370367</v>
      </c>
      <c r="AF185" s="7">
        <f t="shared" si="345"/>
        <v>72.192307692307693</v>
      </c>
      <c r="AG185" s="7">
        <f t="shared" si="345"/>
        <v>50</v>
      </c>
      <c r="AH185" s="7">
        <f t="shared" si="345"/>
        <v>30.851063829787233</v>
      </c>
      <c r="AI185" s="7">
        <f t="shared" si="345"/>
        <v>36.631578947368418</v>
      </c>
      <c r="AJ185" s="7">
        <f t="shared" si="345"/>
        <v>36.285714285714285</v>
      </c>
      <c r="AK185" s="7">
        <f t="shared" si="345"/>
        <v>37.87096774193548</v>
      </c>
      <c r="AL185" s="7">
        <f t="shared" si="345"/>
        <v>25.615384615384617</v>
      </c>
      <c r="AM185" s="7">
        <f t="shared" si="345"/>
        <v>23.256410256410255</v>
      </c>
      <c r="AN185" s="7">
        <f t="shared" si="345"/>
        <v>16.346153846153847</v>
      </c>
      <c r="AO185" s="7">
        <f t="shared" si="345"/>
        <v>13.634920634920634</v>
      </c>
      <c r="AP185" s="7">
        <f t="shared" si="345"/>
        <v>11.435483870967742</v>
      </c>
      <c r="AQ185" s="7">
        <f t="shared" si="345"/>
        <v>11.921568627450981</v>
      </c>
      <c r="AR185" s="7">
        <f t="shared" si="345"/>
        <v>8.0540540540540544</v>
      </c>
      <c r="AS185" s="7">
        <f t="shared" si="345"/>
        <v>6.4545454545454541</v>
      </c>
      <c r="AT185" s="7">
        <f t="shared" si="345"/>
        <v>6.125</v>
      </c>
      <c r="AU185" s="7">
        <f t="shared" si="345"/>
        <v>4.7023809523809526</v>
      </c>
      <c r="AV185" s="7">
        <f t="shared" si="345"/>
        <v>3.8191489361702127</v>
      </c>
      <c r="AW185" s="7">
        <f t="shared" si="345"/>
        <v>3.4653465346534653</v>
      </c>
      <c r="AX185" s="7">
        <f t="shared" si="345"/>
        <v>2.2153846153846155</v>
      </c>
      <c r="AY185" s="7">
        <f t="shared" si="345"/>
        <v>2.3275862068965516</v>
      </c>
      <c r="AZ185" s="7">
        <f t="shared" si="345"/>
        <v>1.8303571428571428</v>
      </c>
      <c r="BA185" s="7">
        <f t="shared" si="345"/>
        <v>1.6993006993006994</v>
      </c>
      <c r="BB185" s="7">
        <f t="shared" si="345"/>
        <v>1.3096774193548386</v>
      </c>
      <c r="BC185" s="7">
        <f t="shared" si="345"/>
        <v>1.2848484848484849</v>
      </c>
      <c r="BD185" s="7">
        <f t="shared" si="345"/>
        <v>0.88888888888888884</v>
      </c>
      <c r="BE185" s="7">
        <f t="shared" si="345"/>
        <v>0.61538461538461542</v>
      </c>
      <c r="BF185" s="7">
        <f t="shared" si="345"/>
        <v>0.63436123348017626</v>
      </c>
      <c r="BG185" s="7">
        <f t="shared" si="345"/>
        <v>0.4049586776859504</v>
      </c>
      <c r="BH185" s="7">
        <f t="shared" si="345"/>
        <v>0.10948905109489052</v>
      </c>
      <c r="BI185" s="7">
        <f t="shared" si="345"/>
        <v>0.18</v>
      </c>
      <c r="BJ185" s="7">
        <f t="shared" si="345"/>
        <v>0.10443037974683544</v>
      </c>
      <c r="BK185" s="7">
        <f t="shared" si="345"/>
        <v>0.12607449856733524</v>
      </c>
      <c r="BL185" s="7">
        <f t="shared" si="345"/>
        <v>-5.0938337801608578E-2</v>
      </c>
      <c r="BM185" s="7">
        <f t="shared" si="345"/>
        <v>2.352941176470588E-3</v>
      </c>
      <c r="BN185" s="7">
        <f t="shared" si="345"/>
        <v>-2.4449877750611249E-2</v>
      </c>
      <c r="BO185" s="7">
        <f t="shared" ref="BO185:CY185" si="346">BO137/BO38</f>
        <v>-4.5643153526970952E-2</v>
      </c>
      <c r="BP185" s="7">
        <f t="shared" si="346"/>
        <v>2.1235521235521235E-2</v>
      </c>
      <c r="BQ185" s="7">
        <f t="shared" si="346"/>
        <v>-3.3613445378151259E-2</v>
      </c>
      <c r="BR185" s="7">
        <f t="shared" si="346"/>
        <v>-4.5941807044410414E-2</v>
      </c>
      <c r="BS185" s="7">
        <f t="shared" si="346"/>
        <v>2.2580645161290321E-2</v>
      </c>
      <c r="BT185" s="7">
        <f t="shared" si="346"/>
        <v>-3.5200000000000002E-2</v>
      </c>
      <c r="BU185" s="7">
        <f t="shared" si="346"/>
        <v>0</v>
      </c>
      <c r="BV185" s="7">
        <f t="shared" si="346"/>
        <v>2.8469750889679714E-2</v>
      </c>
      <c r="BW185" s="7">
        <f t="shared" si="346"/>
        <v>2.7739251040221915E-3</v>
      </c>
      <c r="BX185" s="7">
        <f t="shared" si="346"/>
        <v>0</v>
      </c>
      <c r="BY185" s="7">
        <f t="shared" si="346"/>
        <v>1.680672268907563E-2</v>
      </c>
      <c r="BZ185" s="7">
        <f t="shared" si="346"/>
        <v>1.1065006915629323E-2</v>
      </c>
      <c r="CA185" s="7">
        <f t="shared" si="346"/>
        <v>1.937984496124031E-2</v>
      </c>
      <c r="CB185" s="7">
        <f t="shared" si="346"/>
        <v>2.5940337224383916E-3</v>
      </c>
      <c r="CC185" s="7">
        <f t="shared" si="346"/>
        <v>1.5677491601343786E-2</v>
      </c>
      <c r="CD185" s="7">
        <f t="shared" si="346"/>
        <v>1.937984496124031E-3</v>
      </c>
      <c r="CE185" s="7">
        <f t="shared" si="346"/>
        <v>9.892086330935251E-3</v>
      </c>
      <c r="CF185" s="7">
        <f t="shared" si="346"/>
        <v>7.6335877862595417E-3</v>
      </c>
      <c r="CG185" s="7">
        <f t="shared" si="346"/>
        <v>-7.3909830007390983E-4</v>
      </c>
      <c r="CH185" s="7">
        <f t="shared" si="346"/>
        <v>1.3477088948787063E-3</v>
      </c>
      <c r="CI185" s="7">
        <f t="shared" si="346"/>
        <v>2.6058631921824105E-3</v>
      </c>
      <c r="CJ185" s="7">
        <f t="shared" si="346"/>
        <v>0</v>
      </c>
      <c r="CK185" s="7">
        <f t="shared" si="346"/>
        <v>1.8472906403940886E-3</v>
      </c>
      <c r="CL185" s="7">
        <f t="shared" si="346"/>
        <v>0</v>
      </c>
      <c r="CM185" s="7">
        <f t="shared" si="346"/>
        <v>-2.3014959723820483E-3</v>
      </c>
      <c r="CN185" s="7">
        <f t="shared" si="346"/>
        <v>-1.7964071856287425E-3</v>
      </c>
      <c r="CO185" s="7">
        <f t="shared" si="346"/>
        <v>-1.6602102933038186E-3</v>
      </c>
      <c r="CP185" s="7">
        <f t="shared" si="346"/>
        <v>-3.8095238095238095E-3</v>
      </c>
      <c r="CQ185" s="7">
        <f t="shared" si="346"/>
        <v>-2.5157232704402514E-3</v>
      </c>
      <c r="CR185" s="7">
        <f t="shared" si="346"/>
        <v>-3.3927056827820186E-3</v>
      </c>
      <c r="CS185" s="7">
        <f t="shared" si="346"/>
        <v>-1.8198362147406734E-3</v>
      </c>
      <c r="CT185" s="7">
        <f t="shared" si="346"/>
        <v>0</v>
      </c>
      <c r="CU185" s="7">
        <f t="shared" si="346"/>
        <v>-2.8985507246376812E-3</v>
      </c>
      <c r="CV185" s="7">
        <f t="shared" si="346"/>
        <v>0</v>
      </c>
      <c r="CW185" s="7">
        <f t="shared" si="346"/>
        <v>2.5316455696202532E-3</v>
      </c>
      <c r="CX185" s="7">
        <f t="shared" si="346"/>
        <v>0</v>
      </c>
      <c r="CY185" s="7">
        <f t="shared" si="346"/>
        <v>0</v>
      </c>
    </row>
    <row r="186" spans="1:103" x14ac:dyDescent="0.3">
      <c r="A186" s="10">
        <v>2013</v>
      </c>
      <c r="C186" s="7">
        <f t="shared" ref="C186:BN186" si="347">C138/C39</f>
        <v>7.0909090909090908</v>
      </c>
      <c r="D186" s="7">
        <f t="shared" si="347"/>
        <v>29.23076923076923</v>
      </c>
      <c r="E186" s="7">
        <f t="shared" si="347"/>
        <v>113.4</v>
      </c>
      <c r="F186" s="7">
        <f t="shared" si="347"/>
        <v>65.875</v>
      </c>
      <c r="G186" s="7">
        <f t="shared" si="347"/>
        <v>150.33333333333334</v>
      </c>
      <c r="H186" s="7">
        <f t="shared" si="347"/>
        <v>90.6</v>
      </c>
      <c r="I186" s="7">
        <f t="shared" si="347"/>
        <v>62.833333333333336</v>
      </c>
      <c r="J186" s="7">
        <f t="shared" si="347"/>
        <v>105</v>
      </c>
      <c r="K186" s="7">
        <f t="shared" si="347"/>
        <v>141.66666666666666</v>
      </c>
      <c r="L186" s="7">
        <f t="shared" si="347"/>
        <v>122.33333333333333</v>
      </c>
      <c r="M186" s="7">
        <f t="shared" si="347"/>
        <v>105.75</v>
      </c>
      <c r="N186" s="7">
        <f t="shared" si="347"/>
        <v>78</v>
      </c>
      <c r="O186" s="7">
        <f t="shared" si="347"/>
        <v>101.25</v>
      </c>
      <c r="P186" s="7">
        <f t="shared" si="347"/>
        <v>129</v>
      </c>
      <c r="Q186" s="7">
        <f t="shared" si="347"/>
        <v>138.66666666666666</v>
      </c>
      <c r="R186" s="7">
        <f t="shared" si="347"/>
        <v>176</v>
      </c>
      <c r="S186" s="7">
        <f t="shared" si="347"/>
        <v>86</v>
      </c>
      <c r="T186" s="7">
        <f t="shared" si="347"/>
        <v>32.117647058823529</v>
      </c>
      <c r="U186" s="7">
        <f t="shared" si="347"/>
        <v>24.208333333333332</v>
      </c>
      <c r="V186" s="7">
        <f t="shared" si="347"/>
        <v>24.08</v>
      </c>
      <c r="W186" s="7">
        <f t="shared" si="347"/>
        <v>30.2</v>
      </c>
      <c r="X186" s="7">
        <f t="shared" si="347"/>
        <v>43.392857142857146</v>
      </c>
      <c r="Y186" s="7">
        <f t="shared" si="347"/>
        <v>64.695652173913047</v>
      </c>
      <c r="Z186" s="7">
        <f t="shared" si="347"/>
        <v>57.896551724137929</v>
      </c>
      <c r="AA186" s="7">
        <f t="shared" si="347"/>
        <v>65.733333333333334</v>
      </c>
      <c r="AB186" s="7">
        <f t="shared" si="347"/>
        <v>67</v>
      </c>
      <c r="AC186" s="7">
        <f t="shared" si="347"/>
        <v>58.527777777777779</v>
      </c>
      <c r="AD186" s="7">
        <f t="shared" si="347"/>
        <v>63.387096774193552</v>
      </c>
      <c r="AE186" s="7">
        <f t="shared" si="347"/>
        <v>62.827586206896555</v>
      </c>
      <c r="AF186" s="7">
        <f t="shared" si="347"/>
        <v>42.864864864864863</v>
      </c>
      <c r="AG186" s="7">
        <f t="shared" si="347"/>
        <v>40.28125</v>
      </c>
      <c r="AH186" s="7">
        <f t="shared" si="347"/>
        <v>39.766666666666666</v>
      </c>
      <c r="AI186" s="7">
        <f t="shared" si="347"/>
        <v>28.894736842105264</v>
      </c>
      <c r="AJ186" s="7">
        <f t="shared" si="347"/>
        <v>30.057142857142857</v>
      </c>
      <c r="AK186" s="7">
        <f t="shared" si="347"/>
        <v>24.073170731707318</v>
      </c>
      <c r="AL186" s="7">
        <f t="shared" si="347"/>
        <v>17.979166666666668</v>
      </c>
      <c r="AM186" s="7">
        <f t="shared" si="347"/>
        <v>14.072727272727272</v>
      </c>
      <c r="AN186" s="7">
        <f t="shared" si="347"/>
        <v>12.377358490566039</v>
      </c>
      <c r="AO186" s="7">
        <f t="shared" si="347"/>
        <v>16.581395348837209</v>
      </c>
      <c r="AP186" s="7">
        <f t="shared" si="347"/>
        <v>11.235294117647058</v>
      </c>
      <c r="AQ186" s="7">
        <f t="shared" si="347"/>
        <v>8.4626865671641784</v>
      </c>
      <c r="AR186" s="7">
        <f t="shared" si="347"/>
        <v>5.7108433734939759</v>
      </c>
      <c r="AS186" s="7">
        <f t="shared" si="347"/>
        <v>5.6578947368421053</v>
      </c>
      <c r="AT186" s="7">
        <f t="shared" si="347"/>
        <v>4.2289156626506026</v>
      </c>
      <c r="AU186" s="7">
        <f t="shared" si="347"/>
        <v>3.1931818181818183</v>
      </c>
      <c r="AV186" s="7">
        <f t="shared" si="347"/>
        <v>2.6666666666666665</v>
      </c>
      <c r="AW186" s="7">
        <f t="shared" si="347"/>
        <v>2.5841584158415842</v>
      </c>
      <c r="AX186" s="7">
        <f t="shared" si="347"/>
        <v>2.375</v>
      </c>
      <c r="AY186" s="7">
        <f t="shared" si="347"/>
        <v>1.7741935483870968</v>
      </c>
      <c r="AZ186" s="7">
        <f t="shared" si="347"/>
        <v>0.80689655172413788</v>
      </c>
      <c r="BA186" s="7">
        <f t="shared" si="347"/>
        <v>0.7857142857142857</v>
      </c>
      <c r="BB186" s="7">
        <f t="shared" si="347"/>
        <v>0.69333333333333336</v>
      </c>
      <c r="BC186" s="7">
        <f t="shared" si="347"/>
        <v>0.57837837837837835</v>
      </c>
      <c r="BD186" s="7">
        <f t="shared" si="347"/>
        <v>0.51428571428571423</v>
      </c>
      <c r="BE186" s="7">
        <f t="shared" si="347"/>
        <v>0.33333333333333331</v>
      </c>
      <c r="BF186" s="7">
        <f t="shared" si="347"/>
        <v>9.2827004219409287E-2</v>
      </c>
      <c r="BG186" s="7">
        <f t="shared" si="347"/>
        <v>-4.2145593869731802E-2</v>
      </c>
      <c r="BH186" s="7">
        <f t="shared" si="347"/>
        <v>-2.0242914979757085E-2</v>
      </c>
      <c r="BI186" s="7">
        <f t="shared" si="347"/>
        <v>9.8039215686274508E-2</v>
      </c>
      <c r="BJ186" s="7">
        <f t="shared" si="347"/>
        <v>-3.4161490683229816E-2</v>
      </c>
      <c r="BK186" s="7">
        <f t="shared" si="347"/>
        <v>-3.8781163434903045E-2</v>
      </c>
      <c r="BL186" s="7">
        <f t="shared" si="347"/>
        <v>-3.151862464183381E-2</v>
      </c>
      <c r="BM186" s="7">
        <f t="shared" si="347"/>
        <v>-5.0666666666666665E-2</v>
      </c>
      <c r="BN186" s="7">
        <f t="shared" si="347"/>
        <v>-5.3571428571428568E-2</v>
      </c>
      <c r="BO186" s="7">
        <f t="shared" ref="BO186:CY186" si="348">BO138/BO39</f>
        <v>4.434589800443459E-3</v>
      </c>
      <c r="BP186" s="7">
        <f t="shared" si="348"/>
        <v>-1.1787819253438114E-2</v>
      </c>
      <c r="BQ186" s="7">
        <f t="shared" si="348"/>
        <v>-1.6100178890876567E-2</v>
      </c>
      <c r="BR186" s="7">
        <f t="shared" si="348"/>
        <v>-4.8034934497816595E-2</v>
      </c>
      <c r="BS186" s="7">
        <f t="shared" si="348"/>
        <v>-1.9938650306748466E-2</v>
      </c>
      <c r="BT186" s="7">
        <f t="shared" si="348"/>
        <v>7.2674418604651162E-3</v>
      </c>
      <c r="BU186" s="7">
        <f t="shared" si="348"/>
        <v>4.1204437400950873E-2</v>
      </c>
      <c r="BV186" s="7">
        <f t="shared" si="348"/>
        <v>-3.3613445378151263E-3</v>
      </c>
      <c r="BW186" s="7">
        <f t="shared" si="348"/>
        <v>1.7886178861788619E-2</v>
      </c>
      <c r="BX186" s="7">
        <f t="shared" si="348"/>
        <v>8.9686098654708519E-3</v>
      </c>
      <c r="BY186" s="7">
        <f t="shared" si="348"/>
        <v>3.952569169960474E-3</v>
      </c>
      <c r="BZ186" s="7">
        <f t="shared" si="348"/>
        <v>2.4771838331160364E-2</v>
      </c>
      <c r="CA186" s="7">
        <f t="shared" si="348"/>
        <v>-2.4296675191815855E-2</v>
      </c>
      <c r="CB186" s="7">
        <f t="shared" si="348"/>
        <v>4.5871559633027525E-3</v>
      </c>
      <c r="CC186" s="7">
        <f t="shared" si="348"/>
        <v>1.2585812356979404E-2</v>
      </c>
      <c r="CD186" s="7">
        <f t="shared" si="348"/>
        <v>7.2016460905349796E-3</v>
      </c>
      <c r="CE186" s="7">
        <f t="shared" si="348"/>
        <v>5.8252427184466021E-3</v>
      </c>
      <c r="CF186" s="7">
        <f t="shared" si="348"/>
        <v>1.2355848434925865E-2</v>
      </c>
      <c r="CG186" s="7">
        <f t="shared" si="348"/>
        <v>-7.6628352490421458E-4</v>
      </c>
      <c r="CH186" s="7">
        <f t="shared" si="348"/>
        <v>-1.5197568389057751E-3</v>
      </c>
      <c r="CI186" s="7">
        <f t="shared" si="348"/>
        <v>-5.7183702644746249E-3</v>
      </c>
      <c r="CJ186" s="7">
        <f t="shared" si="348"/>
        <v>0</v>
      </c>
      <c r="CK186" s="7">
        <f t="shared" si="348"/>
        <v>4.4929396662387678E-3</v>
      </c>
      <c r="CL186" s="7">
        <f t="shared" si="348"/>
        <v>0</v>
      </c>
      <c r="CM186" s="7">
        <f t="shared" si="348"/>
        <v>6.1881188118811882E-4</v>
      </c>
      <c r="CN186" s="7">
        <f t="shared" si="348"/>
        <v>-1.2269938650306749E-3</v>
      </c>
      <c r="CO186" s="7">
        <f t="shared" si="348"/>
        <v>-2.3781212841854932E-3</v>
      </c>
      <c r="CP186" s="7">
        <f t="shared" si="348"/>
        <v>1.3175230566534915E-3</v>
      </c>
      <c r="CQ186" s="7">
        <f t="shared" si="348"/>
        <v>7.0972320794889996E-4</v>
      </c>
      <c r="CR186" s="7">
        <f t="shared" si="348"/>
        <v>-2.2354694485842027E-3</v>
      </c>
      <c r="CS186" s="7">
        <f t="shared" si="348"/>
        <v>-3.0959752321981426E-3</v>
      </c>
      <c r="CT186" s="7">
        <f t="shared" si="348"/>
        <v>0</v>
      </c>
      <c r="CU186" s="7">
        <f t="shared" si="348"/>
        <v>4.2134831460674156E-3</v>
      </c>
      <c r="CV186" s="7">
        <f t="shared" si="348"/>
        <v>-3.9215686274509803E-3</v>
      </c>
      <c r="CW186" s="7">
        <f t="shared" si="348"/>
        <v>-2.5445292620865142E-3</v>
      </c>
      <c r="CX186" s="7">
        <f t="shared" si="348"/>
        <v>0</v>
      </c>
      <c r="CY186" s="7">
        <f t="shared" si="348"/>
        <v>-5.3763440860215058E-3</v>
      </c>
    </row>
    <row r="187" spans="1:103" x14ac:dyDescent="0.3">
      <c r="A187" s="10">
        <v>2014</v>
      </c>
      <c r="C187" s="7">
        <f t="shared" ref="C187:BN187" si="349">C139/C40</f>
        <v>6</v>
      </c>
      <c r="D187" s="7">
        <f t="shared" si="349"/>
        <v>36.277777777777779</v>
      </c>
      <c r="E187" s="7">
        <f t="shared" si="349"/>
        <v>49.4</v>
      </c>
      <c r="F187" s="7">
        <f t="shared" si="349"/>
        <v>63.833333333333336</v>
      </c>
      <c r="G187" s="7">
        <f t="shared" si="349"/>
        <v>66</v>
      </c>
      <c r="H187" s="7">
        <f t="shared" si="349"/>
        <v>49.285714285714285</v>
      </c>
      <c r="I187" s="7">
        <f t="shared" si="349"/>
        <v>58.5</v>
      </c>
      <c r="J187" s="7">
        <f t="shared" si="349"/>
        <v>68</v>
      </c>
      <c r="K187" s="7">
        <f t="shared" si="349"/>
        <v>60.5</v>
      </c>
      <c r="L187" s="7">
        <f t="shared" si="349"/>
        <v>167</v>
      </c>
      <c r="M187" s="7">
        <f t="shared" si="349"/>
        <v>120.33333333333333</v>
      </c>
      <c r="N187" s="7">
        <f t="shared" si="349"/>
        <v>89</v>
      </c>
      <c r="O187" s="7">
        <f t="shared" si="349"/>
        <v>93.5</v>
      </c>
      <c r="P187" s="7">
        <f t="shared" si="349"/>
        <v>121.33333333333333</v>
      </c>
      <c r="Q187" s="7">
        <f t="shared" si="349"/>
        <v>55.428571428571431</v>
      </c>
      <c r="R187" s="7">
        <f t="shared" si="349"/>
        <v>129.6</v>
      </c>
      <c r="S187" s="7">
        <f t="shared" si="349"/>
        <v>69.333333333333329</v>
      </c>
      <c r="T187" s="7">
        <f t="shared" si="349"/>
        <v>29.705882352941178</v>
      </c>
      <c r="U187" s="7">
        <f t="shared" si="349"/>
        <v>50.083333333333336</v>
      </c>
      <c r="V187" s="7">
        <f t="shared" si="349"/>
        <v>47.6875</v>
      </c>
      <c r="W187" s="7">
        <f t="shared" si="349"/>
        <v>62.176470588235297</v>
      </c>
      <c r="X187" s="7">
        <f t="shared" si="349"/>
        <v>44.958333333333336</v>
      </c>
      <c r="Y187" s="7">
        <f t="shared" si="349"/>
        <v>53.884615384615387</v>
      </c>
      <c r="Z187" s="7">
        <f t="shared" si="349"/>
        <v>43.710526315789473</v>
      </c>
      <c r="AA187" s="7">
        <f t="shared" si="349"/>
        <v>66.931034482758619</v>
      </c>
      <c r="AB187" s="7">
        <f t="shared" si="349"/>
        <v>60.882352941176471</v>
      </c>
      <c r="AC187" s="7">
        <f t="shared" si="349"/>
        <v>91.7</v>
      </c>
      <c r="AD187" s="7">
        <f t="shared" si="349"/>
        <v>46.675675675675677</v>
      </c>
      <c r="AE187" s="7">
        <f t="shared" si="349"/>
        <v>49.484848484848484</v>
      </c>
      <c r="AF187" s="7">
        <f t="shared" si="349"/>
        <v>50.857142857142854</v>
      </c>
      <c r="AG187" s="7">
        <f t="shared" si="349"/>
        <v>30.263157894736842</v>
      </c>
      <c r="AH187" s="7">
        <f t="shared" si="349"/>
        <v>32.303030303030305</v>
      </c>
      <c r="AI187" s="7">
        <f t="shared" si="349"/>
        <v>18.339622641509433</v>
      </c>
      <c r="AJ187" s="7">
        <f t="shared" si="349"/>
        <v>29.5625</v>
      </c>
      <c r="AK187" s="7">
        <f t="shared" si="349"/>
        <v>25.40625</v>
      </c>
      <c r="AL187" s="7">
        <f t="shared" si="349"/>
        <v>15.46</v>
      </c>
      <c r="AM187" s="7">
        <f t="shared" si="349"/>
        <v>16.475000000000001</v>
      </c>
      <c r="AN187" s="7">
        <f t="shared" si="349"/>
        <v>17.395348837209301</v>
      </c>
      <c r="AO187" s="7">
        <f t="shared" si="349"/>
        <v>10.431034482758621</v>
      </c>
      <c r="AP187" s="7">
        <f t="shared" si="349"/>
        <v>10.30188679245283</v>
      </c>
      <c r="AQ187" s="7">
        <f t="shared" si="349"/>
        <v>9.0701754385964914</v>
      </c>
      <c r="AR187" s="7">
        <f t="shared" si="349"/>
        <v>6.9692307692307693</v>
      </c>
      <c r="AS187" s="7">
        <f t="shared" si="349"/>
        <v>7.127272727272727</v>
      </c>
      <c r="AT187" s="7">
        <f t="shared" si="349"/>
        <v>4.4078947368421053</v>
      </c>
      <c r="AU187" s="7">
        <f t="shared" si="349"/>
        <v>4.4210526315789478</v>
      </c>
      <c r="AV187" s="7">
        <f t="shared" si="349"/>
        <v>2.3235294117647061</v>
      </c>
      <c r="AW187" s="7">
        <f t="shared" si="349"/>
        <v>2.7383177570093458</v>
      </c>
      <c r="AX187" s="7">
        <f t="shared" si="349"/>
        <v>2.597826086956522</v>
      </c>
      <c r="AY187" s="7">
        <f t="shared" si="349"/>
        <v>1.5785123966942149</v>
      </c>
      <c r="AZ187" s="7">
        <f t="shared" si="349"/>
        <v>1.3308270676691729</v>
      </c>
      <c r="BA187" s="7">
        <f t="shared" si="349"/>
        <v>0.87662337662337664</v>
      </c>
      <c r="BB187" s="7">
        <f t="shared" si="349"/>
        <v>0.82550335570469802</v>
      </c>
      <c r="BC187" s="7">
        <f t="shared" si="349"/>
        <v>0.70481927710843373</v>
      </c>
      <c r="BD187" s="7">
        <f t="shared" si="349"/>
        <v>0.51758793969849248</v>
      </c>
      <c r="BE187" s="7">
        <f t="shared" si="349"/>
        <v>0.35820895522388058</v>
      </c>
      <c r="BF187" s="7">
        <f t="shared" si="349"/>
        <v>0.25210084033613445</v>
      </c>
      <c r="BG187" s="7">
        <f t="shared" si="349"/>
        <v>0.15720524017467249</v>
      </c>
      <c r="BH187" s="7">
        <f t="shared" si="349"/>
        <v>4.5936395759717315E-2</v>
      </c>
      <c r="BI187" s="7">
        <f t="shared" si="349"/>
        <v>0.1796875</v>
      </c>
      <c r="BJ187" s="7">
        <f t="shared" si="349"/>
        <v>9.3632958801498134E-2</v>
      </c>
      <c r="BK187" s="7">
        <f t="shared" si="349"/>
        <v>0.11290322580645161</v>
      </c>
      <c r="BL187" s="7">
        <f t="shared" si="349"/>
        <v>1.3850415512465374E-2</v>
      </c>
      <c r="BM187" s="7">
        <f t="shared" si="349"/>
        <v>-2.2284122562674095E-2</v>
      </c>
      <c r="BN187" s="7">
        <f t="shared" si="349"/>
        <v>9.876543209876543E-3</v>
      </c>
      <c r="BO187" s="7">
        <f t="shared" ref="BO187:CY187" si="350">BO139/BO40</f>
        <v>-5.6737588652482268E-2</v>
      </c>
      <c r="BP187" s="7">
        <f t="shared" si="350"/>
        <v>4.3572984749455342E-3</v>
      </c>
      <c r="BQ187" s="7">
        <f t="shared" si="350"/>
        <v>-2.2608695652173914E-2</v>
      </c>
      <c r="BR187" s="7">
        <f t="shared" si="350"/>
        <v>-3.4305317324185248E-3</v>
      </c>
      <c r="BS187" s="7">
        <f t="shared" si="350"/>
        <v>1.1577424023154847E-2</v>
      </c>
      <c r="BT187" s="7">
        <f t="shared" si="350"/>
        <v>-2.9895366218236174E-3</v>
      </c>
      <c r="BU187" s="7">
        <f t="shared" si="350"/>
        <v>0</v>
      </c>
      <c r="BV187" s="7">
        <f t="shared" si="350"/>
        <v>2.4427480916030534E-2</v>
      </c>
      <c r="BW187" s="7">
        <f t="shared" si="350"/>
        <v>1.3698630136986301E-2</v>
      </c>
      <c r="BX187" s="7">
        <f t="shared" si="350"/>
        <v>1.7377567140600316E-2</v>
      </c>
      <c r="BY187" s="7">
        <f t="shared" si="350"/>
        <v>3.125E-2</v>
      </c>
      <c r="BZ187" s="7">
        <f t="shared" si="350"/>
        <v>1.0796221322537112E-2</v>
      </c>
      <c r="CA187" s="7">
        <f t="shared" si="350"/>
        <v>3.7125748502994015E-2</v>
      </c>
      <c r="CB187" s="7">
        <f t="shared" si="350"/>
        <v>2.033492822966507E-2</v>
      </c>
      <c r="CC187" s="7">
        <f t="shared" si="350"/>
        <v>1.3590033975084938E-2</v>
      </c>
      <c r="CD187" s="7">
        <f t="shared" si="350"/>
        <v>2.7303754266211604E-2</v>
      </c>
      <c r="CE187" s="7">
        <f t="shared" si="350"/>
        <v>3.0333670374115269E-3</v>
      </c>
      <c r="CF187" s="7">
        <f t="shared" si="350"/>
        <v>8.1669691470054439E-3</v>
      </c>
      <c r="CG187" s="7">
        <f t="shared" si="350"/>
        <v>8.2101806239737272E-4</v>
      </c>
      <c r="CH187" s="7">
        <f t="shared" si="350"/>
        <v>5.3070507960576198E-3</v>
      </c>
      <c r="CI187" s="7">
        <f t="shared" si="350"/>
        <v>5.7887120115774236E-3</v>
      </c>
      <c r="CJ187" s="7">
        <f t="shared" si="350"/>
        <v>0</v>
      </c>
      <c r="CK187" s="7">
        <f t="shared" si="350"/>
        <v>2.6542800265428003E-3</v>
      </c>
      <c r="CL187" s="7">
        <f t="shared" si="350"/>
        <v>2.0533880903490761E-3</v>
      </c>
      <c r="CM187" s="7">
        <f t="shared" si="350"/>
        <v>1.2338062924120913E-3</v>
      </c>
      <c r="CN187" s="7">
        <f t="shared" si="350"/>
        <v>1.3003901170351106E-3</v>
      </c>
      <c r="CO187" s="7">
        <f t="shared" si="350"/>
        <v>1.890359168241966E-3</v>
      </c>
      <c r="CP187" s="7">
        <f t="shared" si="350"/>
        <v>1.8326206475259622E-3</v>
      </c>
      <c r="CQ187" s="7">
        <f t="shared" si="350"/>
        <v>7.0126227208976155E-4</v>
      </c>
      <c r="CR187" s="7">
        <f t="shared" si="350"/>
        <v>-7.722007722007722E-4</v>
      </c>
      <c r="CS187" s="7">
        <f t="shared" si="350"/>
        <v>0</v>
      </c>
      <c r="CT187" s="7">
        <f t="shared" si="350"/>
        <v>-2.3980815347721821E-3</v>
      </c>
      <c r="CU187" s="7">
        <f t="shared" si="350"/>
        <v>0</v>
      </c>
      <c r="CV187" s="7">
        <f t="shared" si="350"/>
        <v>0</v>
      </c>
      <c r="CW187" s="7">
        <f t="shared" si="350"/>
        <v>5.0125313283208017E-3</v>
      </c>
      <c r="CX187" s="7">
        <f t="shared" si="350"/>
        <v>-3.663003663003663E-3</v>
      </c>
      <c r="CY187" s="7">
        <f t="shared" si="350"/>
        <v>0</v>
      </c>
    </row>
    <row r="188" spans="1:103" x14ac:dyDescent="0.3">
      <c r="A188" s="10">
        <v>2015</v>
      </c>
      <c r="C188" s="7">
        <f t="shared" ref="C188:BN188" si="351">C140/C41</f>
        <v>6.1166666666666663</v>
      </c>
      <c r="D188" s="7">
        <f t="shared" si="351"/>
        <v>14.346153846153847</v>
      </c>
      <c r="E188" s="7">
        <f t="shared" si="351"/>
        <v>32.5</v>
      </c>
      <c r="F188" s="7">
        <f t="shared" si="351"/>
        <v>78.75</v>
      </c>
      <c r="G188" s="7">
        <f t="shared" si="351"/>
        <v>61.166666666666664</v>
      </c>
      <c r="H188" s="7">
        <f t="shared" si="351"/>
        <v>82</v>
      </c>
      <c r="I188" s="7">
        <f t="shared" si="351"/>
        <v>77.8</v>
      </c>
      <c r="J188" s="7">
        <f t="shared" si="351"/>
        <v>201</v>
      </c>
      <c r="K188" s="7">
        <f t="shared" si="351"/>
        <v>205.5</v>
      </c>
      <c r="L188" s="7"/>
      <c r="M188" s="7">
        <f t="shared" si="351"/>
        <v>229</v>
      </c>
      <c r="N188" s="7">
        <f t="shared" si="351"/>
        <v>79.8</v>
      </c>
      <c r="O188" s="7">
        <f t="shared" si="351"/>
        <v>229</v>
      </c>
      <c r="P188" s="7">
        <f t="shared" si="351"/>
        <v>59.125</v>
      </c>
      <c r="Q188" s="7">
        <f t="shared" si="351"/>
        <v>186</v>
      </c>
      <c r="R188" s="7">
        <f t="shared" si="351"/>
        <v>81.333333333333329</v>
      </c>
      <c r="S188" s="7">
        <f t="shared" si="351"/>
        <v>151.6</v>
      </c>
      <c r="T188" s="7">
        <f t="shared" si="351"/>
        <v>87.5</v>
      </c>
      <c r="U188" s="7">
        <f t="shared" si="351"/>
        <v>29</v>
      </c>
      <c r="V188" s="7">
        <f t="shared" si="351"/>
        <v>23.375</v>
      </c>
      <c r="W188" s="7">
        <f t="shared" si="351"/>
        <v>33.695652173913047</v>
      </c>
      <c r="X188" s="7">
        <f t="shared" si="351"/>
        <v>46.823529411764703</v>
      </c>
      <c r="Y188" s="7">
        <f t="shared" si="351"/>
        <v>39.035714285714285</v>
      </c>
      <c r="Z188" s="7">
        <f t="shared" si="351"/>
        <v>37.620689655172413</v>
      </c>
      <c r="AA188" s="7">
        <f t="shared" si="351"/>
        <v>43.878787878787875</v>
      </c>
      <c r="AB188" s="7">
        <f t="shared" si="351"/>
        <v>58.037037037037038</v>
      </c>
      <c r="AC188" s="7">
        <f t="shared" si="351"/>
        <v>48.451612903225808</v>
      </c>
      <c r="AD188" s="7">
        <f t="shared" si="351"/>
        <v>31.475000000000001</v>
      </c>
      <c r="AE188" s="7">
        <f t="shared" si="351"/>
        <v>33.297297297297298</v>
      </c>
      <c r="AF188" s="7">
        <f t="shared" si="351"/>
        <v>32.967741935483872</v>
      </c>
      <c r="AG188" s="7">
        <f t="shared" si="351"/>
        <v>28.387096774193548</v>
      </c>
      <c r="AH188" s="7">
        <f t="shared" si="351"/>
        <v>19.606060606060606</v>
      </c>
      <c r="AI188" s="7">
        <f t="shared" si="351"/>
        <v>21.875</v>
      </c>
      <c r="AJ188" s="7">
        <f t="shared" si="351"/>
        <v>12.636363636363637</v>
      </c>
      <c r="AK188" s="7">
        <f t="shared" si="351"/>
        <v>15.581395348837209</v>
      </c>
      <c r="AL188" s="7">
        <f t="shared" si="351"/>
        <v>14.333333333333334</v>
      </c>
      <c r="AM188" s="7">
        <f t="shared" si="351"/>
        <v>12.604651162790697</v>
      </c>
      <c r="AN188" s="7">
        <f t="shared" si="351"/>
        <v>9.7727272727272734</v>
      </c>
      <c r="AO188" s="7">
        <f t="shared" si="351"/>
        <v>11.90625</v>
      </c>
      <c r="AP188" s="7">
        <f t="shared" si="351"/>
        <v>10.973684210526315</v>
      </c>
      <c r="AQ188" s="7">
        <f t="shared" si="351"/>
        <v>7.581818181818182</v>
      </c>
      <c r="AR188" s="7">
        <f t="shared" si="351"/>
        <v>4.75</v>
      </c>
      <c r="AS188" s="7">
        <f t="shared" si="351"/>
        <v>4.4057971014492754</v>
      </c>
      <c r="AT188" s="7">
        <f t="shared" si="351"/>
        <v>3.4461538461538463</v>
      </c>
      <c r="AU188" s="7">
        <f t="shared" si="351"/>
        <v>3.4324324324324325</v>
      </c>
      <c r="AV188" s="7">
        <f t="shared" si="351"/>
        <v>2.3855421686746987</v>
      </c>
      <c r="AW188" s="7">
        <f t="shared" si="351"/>
        <v>1.5596330275229358</v>
      </c>
      <c r="AX188" s="7">
        <f t="shared" si="351"/>
        <v>1.2745098039215685</v>
      </c>
      <c r="AY188" s="7">
        <f t="shared" si="351"/>
        <v>0.85981308411214952</v>
      </c>
      <c r="AZ188" s="7">
        <f t="shared" si="351"/>
        <v>0.76800000000000002</v>
      </c>
      <c r="BA188" s="7">
        <f t="shared" si="351"/>
        <v>0.32307692307692309</v>
      </c>
      <c r="BB188" s="7">
        <f t="shared" si="351"/>
        <v>0.46835443037974683</v>
      </c>
      <c r="BC188" s="7">
        <f t="shared" si="351"/>
        <v>0.4420289855072464</v>
      </c>
      <c r="BD188" s="7">
        <f t="shared" si="351"/>
        <v>0.13513513513513514</v>
      </c>
      <c r="BE188" s="7">
        <f t="shared" si="351"/>
        <v>0.17277486910994763</v>
      </c>
      <c r="BF188" s="7">
        <f t="shared" si="351"/>
        <v>-0.16129032258064516</v>
      </c>
      <c r="BG188" s="7">
        <f t="shared" si="351"/>
        <v>3.937007874015748E-3</v>
      </c>
      <c r="BH188" s="7">
        <f t="shared" si="351"/>
        <v>-4.1284403669724773E-2</v>
      </c>
      <c r="BI188" s="7">
        <f t="shared" si="351"/>
        <v>-2.247191011235955E-2</v>
      </c>
      <c r="BJ188" s="7">
        <f t="shared" si="351"/>
        <v>-9.3189964157706098E-2</v>
      </c>
      <c r="BK188" s="7">
        <f t="shared" si="351"/>
        <v>-8.2840236686390539E-2</v>
      </c>
      <c r="BL188" s="7">
        <f t="shared" si="351"/>
        <v>-0.13924050632911392</v>
      </c>
      <c r="BM188" s="7">
        <f t="shared" si="351"/>
        <v>-0.13493975903614458</v>
      </c>
      <c r="BN188" s="7">
        <f t="shared" si="351"/>
        <v>-9.5238095238095233E-2</v>
      </c>
      <c r="BO188" s="7">
        <f t="shared" ref="BO188:CY188" si="352">BO140/BO41</f>
        <v>-7.3529411764705885E-2</v>
      </c>
      <c r="BP188" s="7">
        <f t="shared" si="352"/>
        <v>-3.9534883720930232E-2</v>
      </c>
      <c r="BQ188" s="7">
        <f t="shared" si="352"/>
        <v>-6.0165975103734441E-2</v>
      </c>
      <c r="BR188" s="7">
        <f t="shared" si="352"/>
        <v>-4.9907578558225509E-2</v>
      </c>
      <c r="BS188" s="7">
        <f t="shared" si="352"/>
        <v>-4.8231511254019296E-3</v>
      </c>
      <c r="BT188" s="7">
        <f t="shared" si="352"/>
        <v>-3.9787798408488064E-3</v>
      </c>
      <c r="BU188" s="7">
        <f t="shared" si="352"/>
        <v>0.03</v>
      </c>
      <c r="BV188" s="7">
        <f t="shared" si="352"/>
        <v>1.3123359580052493E-2</v>
      </c>
      <c r="BW188" s="7">
        <f t="shared" si="352"/>
        <v>2.094972067039106E-2</v>
      </c>
      <c r="BX188" s="7">
        <f t="shared" si="352"/>
        <v>4.8034934497816595E-2</v>
      </c>
      <c r="BY188" s="7">
        <f t="shared" si="352"/>
        <v>2.9069767441860465E-2</v>
      </c>
      <c r="BZ188" s="7">
        <f t="shared" si="352"/>
        <v>2.454780361757106E-2</v>
      </c>
      <c r="CA188" s="7">
        <f t="shared" si="352"/>
        <v>2.1505376344086023E-2</v>
      </c>
      <c r="CB188" s="7">
        <f t="shared" si="352"/>
        <v>4.5871559633027525E-3</v>
      </c>
      <c r="CC188" s="7">
        <f t="shared" si="352"/>
        <v>1.2318029115341545E-2</v>
      </c>
      <c r="CD188" s="7">
        <f t="shared" si="352"/>
        <v>6.44468313641246E-3</v>
      </c>
      <c r="CE188" s="7">
        <f t="shared" si="352"/>
        <v>1.2974051896207584E-2</v>
      </c>
      <c r="CF188" s="7">
        <f t="shared" si="352"/>
        <v>9.3632958801498131E-3</v>
      </c>
      <c r="CG188" s="7">
        <f t="shared" si="352"/>
        <v>7.9155672823219003E-3</v>
      </c>
      <c r="CH188" s="7">
        <f t="shared" si="352"/>
        <v>2.1945866861741038E-3</v>
      </c>
      <c r="CI188" s="7">
        <f t="shared" si="352"/>
        <v>0</v>
      </c>
      <c r="CJ188" s="7">
        <f t="shared" si="352"/>
        <v>6.8446269678302529E-3</v>
      </c>
      <c r="CK188" s="7">
        <f t="shared" si="352"/>
        <v>6.793478260869565E-4</v>
      </c>
      <c r="CL188" s="7">
        <f t="shared" si="352"/>
        <v>2.5624599615631004E-3</v>
      </c>
      <c r="CM188" s="7">
        <f t="shared" si="352"/>
        <v>1.9788918205804751E-3</v>
      </c>
      <c r="CN188" s="7">
        <f t="shared" si="352"/>
        <v>-2.5062656641604009E-3</v>
      </c>
      <c r="CO188" s="7">
        <f t="shared" si="352"/>
        <v>0</v>
      </c>
      <c r="CP188" s="7">
        <f t="shared" si="352"/>
        <v>-6.1728395061728394E-4</v>
      </c>
      <c r="CQ188" s="7">
        <f t="shared" si="352"/>
        <v>-1.3404825737265416E-3</v>
      </c>
      <c r="CR188" s="7">
        <f t="shared" si="352"/>
        <v>0</v>
      </c>
      <c r="CS188" s="7">
        <f t="shared" si="352"/>
        <v>1.6778523489932886E-3</v>
      </c>
      <c r="CT188" s="7">
        <f t="shared" si="352"/>
        <v>2.9097963142580021E-3</v>
      </c>
      <c r="CU188" s="7">
        <f t="shared" si="352"/>
        <v>-4.3795620437956208E-3</v>
      </c>
      <c r="CV188" s="7">
        <f t="shared" si="352"/>
        <v>-1.6474464579901153E-3</v>
      </c>
      <c r="CW188" s="7">
        <f t="shared" si="352"/>
        <v>2.1739130434782609E-3</v>
      </c>
      <c r="CX188" s="7">
        <f t="shared" si="352"/>
        <v>0</v>
      </c>
      <c r="CY188" s="7">
        <f t="shared" si="352"/>
        <v>5.1020408163265302E-3</v>
      </c>
    </row>
    <row r="189" spans="1:103" x14ac:dyDescent="0.3">
      <c r="A189" s="10">
        <v>2016</v>
      </c>
      <c r="C189" s="7">
        <f t="shared" ref="C189:BN189" si="353">C141/C42</f>
        <v>5.4086956521739129</v>
      </c>
      <c r="D189" s="7">
        <f t="shared" si="353"/>
        <v>27.277777777777779</v>
      </c>
      <c r="E189" s="7">
        <f t="shared" si="353"/>
        <v>35.4</v>
      </c>
      <c r="F189" s="7">
        <f t="shared" si="353"/>
        <v>62.6</v>
      </c>
      <c r="G189" s="7">
        <f t="shared" si="353"/>
        <v>100.66666666666667</v>
      </c>
      <c r="H189" s="7">
        <f t="shared" si="353"/>
        <v>78.5</v>
      </c>
      <c r="I189" s="7">
        <f t="shared" si="353"/>
        <v>417</v>
      </c>
      <c r="J189" s="7">
        <f t="shared" si="353"/>
        <v>62.571428571428569</v>
      </c>
      <c r="K189" s="7">
        <f t="shared" si="353"/>
        <v>417</v>
      </c>
      <c r="L189" s="7"/>
      <c r="M189" s="7">
        <f t="shared" si="353"/>
        <v>139.66666666666666</v>
      </c>
      <c r="N189" s="7">
        <f t="shared" si="353"/>
        <v>155</v>
      </c>
      <c r="O189" s="7">
        <f t="shared" si="353"/>
        <v>102.6</v>
      </c>
      <c r="P189" s="7">
        <f t="shared" si="353"/>
        <v>144.25</v>
      </c>
      <c r="Q189" s="7">
        <f t="shared" si="353"/>
        <v>56.230769230769234</v>
      </c>
      <c r="R189" s="7">
        <f t="shared" si="353"/>
        <v>124.625</v>
      </c>
      <c r="S189" s="7">
        <f t="shared" si="353"/>
        <v>67.599999999999994</v>
      </c>
      <c r="T189" s="7">
        <f t="shared" si="353"/>
        <v>75.5</v>
      </c>
      <c r="U189" s="7">
        <f t="shared" si="353"/>
        <v>22.739130434782609</v>
      </c>
      <c r="V189" s="7">
        <f t="shared" si="353"/>
        <v>32.909090909090907</v>
      </c>
      <c r="W189" s="7">
        <f t="shared" si="353"/>
        <v>35.916666666666664</v>
      </c>
      <c r="X189" s="7">
        <f t="shared" si="353"/>
        <v>39.695652173913047</v>
      </c>
      <c r="Y189" s="7">
        <f t="shared" si="353"/>
        <v>51.526315789473685</v>
      </c>
      <c r="Z189" s="7">
        <f t="shared" si="353"/>
        <v>38.103448275862071</v>
      </c>
      <c r="AA189" s="7">
        <f t="shared" si="353"/>
        <v>55.652173913043477</v>
      </c>
      <c r="AB189" s="7">
        <f t="shared" si="353"/>
        <v>66</v>
      </c>
      <c r="AC189" s="7">
        <f t="shared" si="353"/>
        <v>29.666666666666668</v>
      </c>
      <c r="AD189" s="7">
        <f t="shared" si="353"/>
        <v>27.05263157894737</v>
      </c>
      <c r="AE189" s="7">
        <f t="shared" si="353"/>
        <v>34.92307692307692</v>
      </c>
      <c r="AF189" s="7">
        <f t="shared" si="353"/>
        <v>26.25</v>
      </c>
      <c r="AG189" s="7">
        <f t="shared" si="353"/>
        <v>15.05</v>
      </c>
      <c r="AH189" s="7">
        <f t="shared" si="353"/>
        <v>15.393939393939394</v>
      </c>
      <c r="AI189" s="7">
        <f t="shared" si="353"/>
        <v>10.574999999999999</v>
      </c>
      <c r="AJ189" s="7">
        <f t="shared" si="353"/>
        <v>6.0961538461538458</v>
      </c>
      <c r="AK189" s="7">
        <f t="shared" si="353"/>
        <v>4.9069767441860463</v>
      </c>
      <c r="AL189" s="7">
        <f t="shared" si="353"/>
        <v>9.6888888888888882</v>
      </c>
      <c r="AM189" s="7">
        <f t="shared" si="353"/>
        <v>5.76</v>
      </c>
      <c r="AN189" s="7">
        <f t="shared" si="353"/>
        <v>6.9523809523809526</v>
      </c>
      <c r="AO189" s="7">
        <f t="shared" si="353"/>
        <v>5.975609756097561</v>
      </c>
      <c r="AP189" s="7">
        <f t="shared" si="353"/>
        <v>2.8909090909090911</v>
      </c>
      <c r="AQ189" s="7">
        <f t="shared" si="353"/>
        <v>5.161290322580645</v>
      </c>
      <c r="AR189" s="7">
        <f t="shared" si="353"/>
        <v>3.05</v>
      </c>
      <c r="AS189" s="7">
        <f t="shared" si="353"/>
        <v>2.515625</v>
      </c>
      <c r="AT189" s="7">
        <f t="shared" si="353"/>
        <v>1.7901234567901234</v>
      </c>
      <c r="AU189" s="7">
        <f t="shared" si="353"/>
        <v>1.4852941176470589</v>
      </c>
      <c r="AV189" s="7">
        <f t="shared" si="353"/>
        <v>1.423913043478261</v>
      </c>
      <c r="AW189" s="7">
        <f t="shared" si="353"/>
        <v>0.48958333333333331</v>
      </c>
      <c r="AX189" s="7">
        <f t="shared" si="353"/>
        <v>1.0865384615384615</v>
      </c>
      <c r="AY189" s="7">
        <f t="shared" si="353"/>
        <v>0.37704918032786883</v>
      </c>
      <c r="AZ189" s="7">
        <f t="shared" si="353"/>
        <v>0.5130434782608696</v>
      </c>
      <c r="BA189" s="7">
        <f t="shared" si="353"/>
        <v>0.25833333333333336</v>
      </c>
      <c r="BB189" s="7">
        <f t="shared" si="353"/>
        <v>0.1118421052631579</v>
      </c>
      <c r="BC189" s="7">
        <f t="shared" si="353"/>
        <v>-0.10650887573964497</v>
      </c>
      <c r="BD189" s="7">
        <f t="shared" si="353"/>
        <v>-0.16201117318435754</v>
      </c>
      <c r="BE189" s="7">
        <f t="shared" si="353"/>
        <v>-5.076142131979695E-3</v>
      </c>
      <c r="BF189" s="7">
        <f t="shared" si="353"/>
        <v>-6.3725490196078427E-2</v>
      </c>
      <c r="BG189" s="7">
        <f t="shared" si="353"/>
        <v>-0.16744186046511628</v>
      </c>
      <c r="BH189" s="7">
        <f t="shared" si="353"/>
        <v>-7.2649572649572655E-2</v>
      </c>
      <c r="BI189" s="7">
        <f t="shared" si="353"/>
        <v>-8.3032490974729242E-2</v>
      </c>
      <c r="BJ189" s="7">
        <f t="shared" si="353"/>
        <v>-4.8701298701298704E-2</v>
      </c>
      <c r="BK189" s="7">
        <f t="shared" si="353"/>
        <v>-0.13289036544850499</v>
      </c>
      <c r="BL189" s="7">
        <f t="shared" si="353"/>
        <v>-0.15774647887323945</v>
      </c>
      <c r="BM189" s="7">
        <f t="shared" si="353"/>
        <v>-0.17195767195767195</v>
      </c>
      <c r="BN189" s="7">
        <f t="shared" si="353"/>
        <v>-5.6650246305418719E-2</v>
      </c>
      <c r="BO189" s="7">
        <f t="shared" ref="BO189:CY189" si="354">BO141/BO42</f>
        <v>-0.10361445783132531</v>
      </c>
      <c r="BP189" s="7">
        <f t="shared" si="354"/>
        <v>-6.5075921908893707E-3</v>
      </c>
      <c r="BQ189" s="7">
        <f t="shared" si="354"/>
        <v>-5.5762081784386616E-2</v>
      </c>
      <c r="BR189" s="7">
        <f t="shared" si="354"/>
        <v>-4.9469964664310952E-2</v>
      </c>
      <c r="BS189" s="7">
        <f t="shared" si="354"/>
        <v>3.2362459546925568E-3</v>
      </c>
      <c r="BT189" s="7">
        <f t="shared" si="354"/>
        <v>3.6284470246734396E-2</v>
      </c>
      <c r="BU189" s="7">
        <f t="shared" si="354"/>
        <v>1.7721518987341773E-2</v>
      </c>
      <c r="BV189" s="7">
        <f t="shared" si="354"/>
        <v>2.2880215343203229E-2</v>
      </c>
      <c r="BW189" s="7">
        <f t="shared" si="354"/>
        <v>8.4337349397590362E-3</v>
      </c>
      <c r="BX189" s="7">
        <f t="shared" si="354"/>
        <v>2.5885558583106268E-2</v>
      </c>
      <c r="BY189" s="7">
        <f t="shared" si="354"/>
        <v>2.5780189959294438E-2</v>
      </c>
      <c r="BZ189" s="7">
        <f t="shared" si="354"/>
        <v>3.7762237762237763E-2</v>
      </c>
      <c r="CA189" s="7">
        <f t="shared" si="354"/>
        <v>1.3317191283292978E-2</v>
      </c>
      <c r="CB189" s="7">
        <f t="shared" si="354"/>
        <v>1.076555023923445E-2</v>
      </c>
      <c r="CC189" s="7">
        <f t="shared" si="354"/>
        <v>1.167728237791932E-2</v>
      </c>
      <c r="CD189" s="7">
        <f t="shared" si="354"/>
        <v>2.098635886673662E-2</v>
      </c>
      <c r="CE189" s="7">
        <f t="shared" si="354"/>
        <v>1.6112789526686808E-2</v>
      </c>
      <c r="CF189" s="7">
        <f t="shared" si="354"/>
        <v>6.7632850241545897E-3</v>
      </c>
      <c r="CG189" s="7">
        <f t="shared" si="354"/>
        <v>1.1545293072824156E-2</v>
      </c>
      <c r="CH189" s="7">
        <f t="shared" si="354"/>
        <v>5.9422750424448214E-3</v>
      </c>
      <c r="CI189" s="7">
        <f t="shared" si="354"/>
        <v>4.3668122270742356E-3</v>
      </c>
      <c r="CJ189" s="7">
        <f t="shared" si="354"/>
        <v>2.9784065524944155E-3</v>
      </c>
      <c r="CK189" s="7">
        <f t="shared" si="354"/>
        <v>3.3489618218352311E-3</v>
      </c>
      <c r="CL189" s="7">
        <f t="shared" si="354"/>
        <v>1.2507817385866166E-3</v>
      </c>
      <c r="CM189" s="7">
        <f t="shared" si="354"/>
        <v>3.8192234245703373E-3</v>
      </c>
      <c r="CN189" s="7">
        <f t="shared" si="354"/>
        <v>0</v>
      </c>
      <c r="CO189" s="7">
        <f t="shared" si="354"/>
        <v>6.4432989690721648E-4</v>
      </c>
      <c r="CP189" s="7">
        <f t="shared" si="354"/>
        <v>2.0533880903490761E-3</v>
      </c>
      <c r="CQ189" s="7">
        <f t="shared" si="354"/>
        <v>3.4965034965034965E-3</v>
      </c>
      <c r="CR189" s="7">
        <f t="shared" si="354"/>
        <v>0</v>
      </c>
      <c r="CS189" s="7">
        <f t="shared" si="354"/>
        <v>0</v>
      </c>
      <c r="CT189" s="7">
        <f t="shared" si="354"/>
        <v>-1.9627085377821392E-3</v>
      </c>
      <c r="CU189" s="7">
        <f t="shared" si="354"/>
        <v>1.1037527593818985E-3</v>
      </c>
      <c r="CV189" s="7">
        <f t="shared" si="354"/>
        <v>0</v>
      </c>
      <c r="CW189" s="7">
        <f t="shared" si="354"/>
        <v>4.5662100456621002E-3</v>
      </c>
      <c r="CX189" s="7">
        <f t="shared" si="354"/>
        <v>3.1152647975077881E-3</v>
      </c>
      <c r="CY189" s="7">
        <f t="shared" si="354"/>
        <v>-9.8039215686274508E-3</v>
      </c>
    </row>
    <row r="190" spans="1:103" x14ac:dyDescent="0.3">
      <c r="A190" s="10">
        <v>2017</v>
      </c>
      <c r="C190" s="7">
        <f t="shared" ref="C190:BN190" si="355">C142/C43</f>
        <v>6.6548672566371678</v>
      </c>
      <c r="D190" s="7">
        <f t="shared" si="355"/>
        <v>24.75</v>
      </c>
      <c r="E190" s="7">
        <f t="shared" si="355"/>
        <v>26.53846153846154</v>
      </c>
      <c r="F190" s="7">
        <f t="shared" si="355"/>
        <v>59.333333333333336</v>
      </c>
      <c r="G190" s="7">
        <f t="shared" si="355"/>
        <v>27.777777777777779</v>
      </c>
      <c r="H190" s="7">
        <f t="shared" si="355"/>
        <v>39.285714285714285</v>
      </c>
      <c r="I190" s="7">
        <f t="shared" si="355"/>
        <v>50.5</v>
      </c>
      <c r="J190" s="7">
        <f t="shared" si="355"/>
        <v>147.5</v>
      </c>
      <c r="K190" s="7">
        <f t="shared" si="355"/>
        <v>129.66666666666666</v>
      </c>
      <c r="L190" s="7">
        <f t="shared" si="355"/>
        <v>131</v>
      </c>
      <c r="M190" s="7">
        <f t="shared" si="355"/>
        <v>404</v>
      </c>
      <c r="N190" s="7">
        <f t="shared" si="355"/>
        <v>120.33333333333333</v>
      </c>
      <c r="O190" s="7">
        <f t="shared" si="355"/>
        <v>48.25</v>
      </c>
      <c r="P190" s="7">
        <f t="shared" si="355"/>
        <v>104.66666666666667</v>
      </c>
      <c r="Q190" s="7">
        <f t="shared" si="355"/>
        <v>56.285714285714285</v>
      </c>
      <c r="R190" s="7">
        <f t="shared" si="355"/>
        <v>63.375</v>
      </c>
      <c r="S190" s="7">
        <f t="shared" si="355"/>
        <v>40.9375</v>
      </c>
      <c r="T190" s="7">
        <f t="shared" si="355"/>
        <v>53.666666666666664</v>
      </c>
      <c r="U190" s="7">
        <f t="shared" si="355"/>
        <v>23.625</v>
      </c>
      <c r="V190" s="7">
        <f t="shared" si="355"/>
        <v>30.066666666666666</v>
      </c>
      <c r="W190" s="7">
        <f t="shared" si="355"/>
        <v>19.884615384615383</v>
      </c>
      <c r="X190" s="7">
        <f t="shared" si="355"/>
        <v>25.375</v>
      </c>
      <c r="Y190" s="7">
        <f t="shared" si="355"/>
        <v>24.580645161290324</v>
      </c>
      <c r="Z190" s="7">
        <f t="shared" si="355"/>
        <v>24.435897435897434</v>
      </c>
      <c r="AA190" s="7">
        <f t="shared" si="355"/>
        <v>81.375</v>
      </c>
      <c r="AB190" s="7">
        <f t="shared" si="355"/>
        <v>38.193548387096776</v>
      </c>
      <c r="AC190" s="7">
        <f t="shared" si="355"/>
        <v>33.299999999999997</v>
      </c>
      <c r="AD190" s="7">
        <f t="shared" si="355"/>
        <v>32.4375</v>
      </c>
      <c r="AE190" s="7">
        <f t="shared" si="355"/>
        <v>19.256410256410255</v>
      </c>
      <c r="AF190" s="7">
        <f t="shared" si="355"/>
        <v>25.84</v>
      </c>
      <c r="AG190" s="7">
        <f t="shared" si="355"/>
        <v>18</v>
      </c>
      <c r="AH190" s="7">
        <f t="shared" si="355"/>
        <v>13.142857142857142</v>
      </c>
      <c r="AI190" s="7">
        <f t="shared" si="355"/>
        <v>14.571428571428571</v>
      </c>
      <c r="AJ190" s="7">
        <f t="shared" si="355"/>
        <v>12.96551724137931</v>
      </c>
      <c r="AK190" s="7">
        <f t="shared" si="355"/>
        <v>11.8125</v>
      </c>
      <c r="AL190" s="7">
        <f t="shared" si="355"/>
        <v>7.5681818181818183</v>
      </c>
      <c r="AM190" s="7">
        <f t="shared" si="355"/>
        <v>8.6875</v>
      </c>
      <c r="AN190" s="7">
        <f t="shared" si="355"/>
        <v>4.8205128205128203</v>
      </c>
      <c r="AO190" s="7">
        <f t="shared" si="355"/>
        <v>5.2</v>
      </c>
      <c r="AP190" s="7">
        <f t="shared" si="355"/>
        <v>3.5094339622641511</v>
      </c>
      <c r="AQ190" s="7">
        <f t="shared" si="355"/>
        <v>3.7441860465116279</v>
      </c>
      <c r="AR190" s="7">
        <f t="shared" si="355"/>
        <v>3</v>
      </c>
      <c r="AS190" s="7">
        <f t="shared" si="355"/>
        <v>1.5909090909090908</v>
      </c>
      <c r="AT190" s="7">
        <f t="shared" si="355"/>
        <v>1.1891891891891893</v>
      </c>
      <c r="AU190" s="7">
        <f t="shared" si="355"/>
        <v>1.7222222222222223</v>
      </c>
      <c r="AV190" s="7">
        <f t="shared" si="355"/>
        <v>0.68292682926829273</v>
      </c>
      <c r="AW190" s="7">
        <f t="shared" si="355"/>
        <v>0.78873239436619713</v>
      </c>
      <c r="AX190" s="7">
        <f t="shared" si="355"/>
        <v>0.48672566371681414</v>
      </c>
      <c r="AY190" s="7">
        <f t="shared" si="355"/>
        <v>0.5053763440860215</v>
      </c>
      <c r="AZ190" s="7">
        <f t="shared" si="355"/>
        <v>0.6</v>
      </c>
      <c r="BA190" s="7">
        <f t="shared" si="355"/>
        <v>-0.1044776119402985</v>
      </c>
      <c r="BB190" s="7">
        <f t="shared" si="355"/>
        <v>0.24</v>
      </c>
      <c r="BC190" s="7">
        <f t="shared" si="355"/>
        <v>2.5974025974025976E-2</v>
      </c>
      <c r="BD190" s="7">
        <f t="shared" si="355"/>
        <v>-1.7751479289940829E-2</v>
      </c>
      <c r="BE190" s="7">
        <f t="shared" si="355"/>
        <v>2.6315789473684209E-2</v>
      </c>
      <c r="BF190" s="7">
        <f t="shared" si="355"/>
        <v>-9.6618357487922701E-3</v>
      </c>
      <c r="BG190" s="7">
        <f t="shared" si="355"/>
        <v>-9.8445595854922283E-2</v>
      </c>
      <c r="BH190" s="7">
        <f t="shared" si="355"/>
        <v>-0.17180616740088106</v>
      </c>
      <c r="BI190" s="7">
        <f t="shared" si="355"/>
        <v>-0.11428571428571428</v>
      </c>
      <c r="BJ190" s="7">
        <f t="shared" si="355"/>
        <v>-9.9264705882352935E-2</v>
      </c>
      <c r="BK190" s="7">
        <f t="shared" si="355"/>
        <v>-0.15210355987055016</v>
      </c>
      <c r="BL190" s="7">
        <f t="shared" si="355"/>
        <v>-9.9415204678362568E-2</v>
      </c>
      <c r="BM190" s="7">
        <f t="shared" si="355"/>
        <v>-0.10324483775811209</v>
      </c>
      <c r="BN190" s="7">
        <f t="shared" si="355"/>
        <v>-0.10227272727272728</v>
      </c>
      <c r="BO190" s="7">
        <f t="shared" ref="BO190:CY190" si="356">BO142/BO43</f>
        <v>-0.13317757009345793</v>
      </c>
      <c r="BP190" s="7">
        <f t="shared" si="356"/>
        <v>-0.05</v>
      </c>
      <c r="BQ190" s="7">
        <f t="shared" si="356"/>
        <v>-0.164969450101833</v>
      </c>
      <c r="BR190" s="7">
        <f t="shared" si="356"/>
        <v>-4.4883303411131059E-2</v>
      </c>
      <c r="BS190" s="7">
        <f t="shared" si="356"/>
        <v>-1.675041876046901E-2</v>
      </c>
      <c r="BT190" s="7">
        <f t="shared" si="356"/>
        <v>2.7649769585253458E-2</v>
      </c>
      <c r="BU190" s="7">
        <f t="shared" si="356"/>
        <v>-2.5537634408602152E-2</v>
      </c>
      <c r="BV190" s="7">
        <f t="shared" si="356"/>
        <v>2.5157232704402514E-3</v>
      </c>
      <c r="BW190" s="7">
        <f t="shared" si="356"/>
        <v>8.4033613445378148E-3</v>
      </c>
      <c r="BX190" s="7">
        <f t="shared" si="356"/>
        <v>1.1454753722794959E-2</v>
      </c>
      <c r="BY190" s="7">
        <f t="shared" si="356"/>
        <v>1.0804321728691477E-2</v>
      </c>
      <c r="BZ190" s="7">
        <f t="shared" si="356"/>
        <v>3.7037037037037035E-2</v>
      </c>
      <c r="CA190" s="7">
        <f t="shared" si="356"/>
        <v>1.806451612903226E-2</v>
      </c>
      <c r="CB190" s="7">
        <f t="shared" si="356"/>
        <v>3.3821871476888386E-2</v>
      </c>
      <c r="CC190" s="7">
        <f t="shared" si="356"/>
        <v>1.1518324607329843E-2</v>
      </c>
      <c r="CD190" s="7">
        <f t="shared" si="356"/>
        <v>6.0483870967741934E-3</v>
      </c>
      <c r="CE190" s="7">
        <f t="shared" si="356"/>
        <v>0</v>
      </c>
      <c r="CF190" s="7">
        <f t="shared" si="356"/>
        <v>6.5116279069767444E-3</v>
      </c>
      <c r="CG190" s="7">
        <f t="shared" si="356"/>
        <v>2.6737967914438501E-3</v>
      </c>
      <c r="CH190" s="7">
        <f t="shared" si="356"/>
        <v>1.7761989342806395E-3</v>
      </c>
      <c r="CI190" s="7">
        <f t="shared" si="356"/>
        <v>8.1037277147487843E-3</v>
      </c>
      <c r="CJ190" s="7">
        <f t="shared" si="356"/>
        <v>9.6021947873799734E-3</v>
      </c>
      <c r="CK190" s="7">
        <f t="shared" si="356"/>
        <v>-7.4074074074074077E-3</v>
      </c>
      <c r="CL190" s="7">
        <f t="shared" si="356"/>
        <v>2.5526483726866626E-3</v>
      </c>
      <c r="CM190" s="7">
        <f t="shared" si="356"/>
        <v>2.7137042062415195E-3</v>
      </c>
      <c r="CN190" s="7">
        <f t="shared" si="356"/>
        <v>-1.8987341772151898E-3</v>
      </c>
      <c r="CO190" s="7">
        <f t="shared" si="356"/>
        <v>-1.9455252918287938E-3</v>
      </c>
      <c r="CP190" s="7">
        <f t="shared" si="356"/>
        <v>1.3020833333333333E-3</v>
      </c>
      <c r="CQ190" s="7">
        <f t="shared" si="356"/>
        <v>-7.0671378091872788E-4</v>
      </c>
      <c r="CR190" s="7">
        <f t="shared" si="356"/>
        <v>-2.276176024279211E-3</v>
      </c>
      <c r="CS190" s="7">
        <f t="shared" si="356"/>
        <v>-1.7241379310344827E-3</v>
      </c>
      <c r="CT190" s="7">
        <f t="shared" si="356"/>
        <v>2.8517110266159697E-3</v>
      </c>
      <c r="CU190" s="7">
        <f t="shared" si="356"/>
        <v>0</v>
      </c>
      <c r="CV190" s="7">
        <f t="shared" si="356"/>
        <v>-4.2735042735042739E-3</v>
      </c>
      <c r="CW190" s="7">
        <f t="shared" si="356"/>
        <v>0</v>
      </c>
      <c r="CX190" s="7">
        <f t="shared" si="356"/>
        <v>0</v>
      </c>
      <c r="CY190" s="7">
        <f t="shared" si="356"/>
        <v>0</v>
      </c>
    </row>
    <row r="191" spans="1:103" x14ac:dyDescent="0.3">
      <c r="A191" s="10">
        <v>2018</v>
      </c>
      <c r="C191" s="7">
        <f t="shared" ref="C191:BN191" si="357">C143/C44</f>
        <v>5.2260869565217387</v>
      </c>
      <c r="D191" s="7">
        <f t="shared" si="357"/>
        <v>17.875</v>
      </c>
      <c r="E191" s="7">
        <f t="shared" si="357"/>
        <v>21.333333333333332</v>
      </c>
      <c r="F191" s="7">
        <f t="shared" si="357"/>
        <v>57</v>
      </c>
      <c r="G191" s="7">
        <f t="shared" si="357"/>
        <v>62.5</v>
      </c>
      <c r="H191" s="7">
        <f t="shared" si="357"/>
        <v>23</v>
      </c>
      <c r="I191" s="7">
        <f t="shared" si="357"/>
        <v>13</v>
      </c>
      <c r="J191" s="7">
        <f t="shared" si="357"/>
        <v>41.5</v>
      </c>
      <c r="K191" s="7">
        <f t="shared" si="357"/>
        <v>94</v>
      </c>
      <c r="L191" s="7">
        <f t="shared" si="357"/>
        <v>82.666666666666671</v>
      </c>
      <c r="M191" s="7">
        <f t="shared" si="357"/>
        <v>132.5</v>
      </c>
      <c r="N191" s="7">
        <f t="shared" si="357"/>
        <v>57</v>
      </c>
      <c r="O191" s="7">
        <f t="shared" si="357"/>
        <v>97</v>
      </c>
      <c r="P191" s="7">
        <f t="shared" si="357"/>
        <v>29.1</v>
      </c>
      <c r="Q191" s="7">
        <f t="shared" si="357"/>
        <v>46.666666666666664</v>
      </c>
      <c r="R191" s="7">
        <f t="shared" si="357"/>
        <v>38.4</v>
      </c>
      <c r="S191" s="7">
        <f t="shared" si="357"/>
        <v>53.285714285714285</v>
      </c>
      <c r="T191" s="7">
        <f t="shared" si="357"/>
        <v>77</v>
      </c>
      <c r="U191" s="7">
        <f t="shared" si="357"/>
        <v>16.714285714285715</v>
      </c>
      <c r="V191" s="7">
        <f t="shared" si="357"/>
        <v>12.5</v>
      </c>
      <c r="W191" s="7">
        <f t="shared" si="357"/>
        <v>35</v>
      </c>
      <c r="X191" s="7">
        <f t="shared" si="357"/>
        <v>24.75</v>
      </c>
      <c r="Y191" s="7">
        <f t="shared" si="357"/>
        <v>36.15</v>
      </c>
      <c r="Z191" s="7">
        <f t="shared" si="357"/>
        <v>30.733333333333334</v>
      </c>
      <c r="AA191" s="7">
        <f t="shared" si="357"/>
        <v>39.214285714285715</v>
      </c>
      <c r="AB191" s="7">
        <f t="shared" si="357"/>
        <v>44.32</v>
      </c>
      <c r="AC191" s="7">
        <f t="shared" si="357"/>
        <v>35.15625</v>
      </c>
      <c r="AD191" s="7">
        <f t="shared" si="357"/>
        <v>25.684210526315791</v>
      </c>
      <c r="AE191" s="7">
        <f t="shared" si="357"/>
        <v>24.516129032258064</v>
      </c>
      <c r="AF191" s="7">
        <f t="shared" si="357"/>
        <v>19.333333333333332</v>
      </c>
      <c r="AG191" s="7">
        <f t="shared" si="357"/>
        <v>18.516129032258064</v>
      </c>
      <c r="AH191" s="7">
        <f t="shared" si="357"/>
        <v>11.65625</v>
      </c>
      <c r="AI191" s="7">
        <f t="shared" si="357"/>
        <v>11.388888888888889</v>
      </c>
      <c r="AJ191" s="7">
        <f t="shared" si="357"/>
        <v>8.15625</v>
      </c>
      <c r="AK191" s="7">
        <f t="shared" si="357"/>
        <v>7.55</v>
      </c>
      <c r="AL191" s="7">
        <f t="shared" si="357"/>
        <v>6.628571428571429</v>
      </c>
      <c r="AM191" s="7">
        <f t="shared" si="357"/>
        <v>4.7727272727272725</v>
      </c>
      <c r="AN191" s="7">
        <f t="shared" si="357"/>
        <v>4.4318181818181817</v>
      </c>
      <c r="AO191" s="7">
        <f t="shared" si="357"/>
        <v>4.591836734693878</v>
      </c>
      <c r="AP191" s="7">
        <f t="shared" si="357"/>
        <v>2.9230769230769229</v>
      </c>
      <c r="AQ191" s="7">
        <f t="shared" si="357"/>
        <v>2.4318181818181817</v>
      </c>
      <c r="AR191" s="7">
        <f t="shared" si="357"/>
        <v>2.4237288135593222</v>
      </c>
      <c r="AS191" s="7">
        <f t="shared" si="357"/>
        <v>3.5245901639344264</v>
      </c>
      <c r="AT191" s="7">
        <f t="shared" si="357"/>
        <v>3.078125</v>
      </c>
      <c r="AU191" s="7">
        <f t="shared" si="357"/>
        <v>0.94666666666666666</v>
      </c>
      <c r="AV191" s="7">
        <f t="shared" si="357"/>
        <v>2.1971830985915495</v>
      </c>
      <c r="AW191" s="7">
        <f t="shared" si="357"/>
        <v>1.2268041237113403</v>
      </c>
      <c r="AX191" s="7">
        <f t="shared" si="357"/>
        <v>0.78217821782178221</v>
      </c>
      <c r="AY191" s="7">
        <f t="shared" si="357"/>
        <v>0.4</v>
      </c>
      <c r="AZ191" s="7">
        <f t="shared" si="357"/>
        <v>0.33043478260869563</v>
      </c>
      <c r="BA191" s="7">
        <f t="shared" si="357"/>
        <v>0.45833333333333331</v>
      </c>
      <c r="BB191" s="7">
        <f t="shared" si="357"/>
        <v>0.36879432624113473</v>
      </c>
      <c r="BC191" s="7">
        <f t="shared" si="357"/>
        <v>-0.14838709677419354</v>
      </c>
      <c r="BD191" s="7">
        <f t="shared" si="357"/>
        <v>5.6603773584905662E-2</v>
      </c>
      <c r="BE191" s="7">
        <f t="shared" si="357"/>
        <v>-8.6705202312138727E-2</v>
      </c>
      <c r="BF191" s="7">
        <f t="shared" si="357"/>
        <v>0.19895287958115182</v>
      </c>
      <c r="BG191" s="7">
        <f t="shared" si="357"/>
        <v>-0.10952380952380952</v>
      </c>
      <c r="BH191" s="7">
        <f t="shared" si="357"/>
        <v>-0.17154811715481172</v>
      </c>
      <c r="BI191" s="7">
        <f t="shared" si="357"/>
        <v>-0.15079365079365079</v>
      </c>
      <c r="BJ191" s="7">
        <f t="shared" si="357"/>
        <v>-3.663003663003663E-3</v>
      </c>
      <c r="BK191" s="7">
        <f t="shared" si="357"/>
        <v>-0.14102564102564102</v>
      </c>
      <c r="BL191" s="7">
        <f t="shared" si="357"/>
        <v>-7.7639751552795025E-2</v>
      </c>
      <c r="BM191" s="7">
        <f t="shared" si="357"/>
        <v>-0.2011173184357542</v>
      </c>
      <c r="BN191" s="7">
        <f t="shared" si="357"/>
        <v>-8.7179487179487175E-2</v>
      </c>
      <c r="BO191" s="7">
        <f t="shared" ref="BO191:CY191" si="358">BO143/BO44</f>
        <v>-9.0686274509803919E-2</v>
      </c>
      <c r="BP191" s="7">
        <f t="shared" si="358"/>
        <v>-1.7621145374449341E-2</v>
      </c>
      <c r="BQ191" s="7">
        <f t="shared" si="358"/>
        <v>-6.4257028112449793E-2</v>
      </c>
      <c r="BR191" s="7">
        <f t="shared" si="358"/>
        <v>6.1601642710472282E-3</v>
      </c>
      <c r="BS191" s="7">
        <f t="shared" si="358"/>
        <v>1.2110726643598616E-2</v>
      </c>
      <c r="BT191" s="7">
        <f t="shared" si="358"/>
        <v>1.1254019292604502E-2</v>
      </c>
      <c r="BU191" s="7">
        <f t="shared" si="358"/>
        <v>1.1299435028248588E-2</v>
      </c>
      <c r="BV191" s="7">
        <f t="shared" si="358"/>
        <v>2.5348542458808618E-2</v>
      </c>
      <c r="BW191" s="7">
        <f t="shared" si="358"/>
        <v>1.8038331454340473E-2</v>
      </c>
      <c r="BX191" s="7">
        <f t="shared" si="358"/>
        <v>2.591283863368669E-2</v>
      </c>
      <c r="BY191" s="7">
        <f t="shared" si="358"/>
        <v>8.1680280046674443E-3</v>
      </c>
      <c r="BZ191" s="7">
        <f t="shared" si="358"/>
        <v>3.604651162790698E-2</v>
      </c>
      <c r="CA191" s="7">
        <f t="shared" si="358"/>
        <v>3.3112582781456954E-3</v>
      </c>
      <c r="CB191" s="7">
        <f t="shared" si="358"/>
        <v>4.38489646772229E-2</v>
      </c>
      <c r="CC191" s="7">
        <f t="shared" si="358"/>
        <v>1.7408123791102514E-2</v>
      </c>
      <c r="CD191" s="7">
        <f t="shared" si="358"/>
        <v>0.01</v>
      </c>
      <c r="CE191" s="7">
        <f t="shared" si="358"/>
        <v>7.4074074074074077E-3</v>
      </c>
      <c r="CF191" s="7">
        <f t="shared" si="358"/>
        <v>-9.372071227741331E-4</v>
      </c>
      <c r="CG191" s="7">
        <f t="shared" si="358"/>
        <v>1.0238907849829351E-2</v>
      </c>
      <c r="CH191" s="7">
        <f t="shared" si="358"/>
        <v>8.0256821829855537E-4</v>
      </c>
      <c r="CI191" s="7">
        <f t="shared" si="358"/>
        <v>1.2145748987854251E-2</v>
      </c>
      <c r="CJ191" s="7">
        <f t="shared" si="358"/>
        <v>0</v>
      </c>
      <c r="CK191" s="7">
        <f t="shared" si="358"/>
        <v>4.9295774647887328E-3</v>
      </c>
      <c r="CL191" s="7">
        <f t="shared" si="358"/>
        <v>2E-3</v>
      </c>
      <c r="CM191" s="7">
        <f t="shared" si="358"/>
        <v>0</v>
      </c>
      <c r="CN191" s="7">
        <f t="shared" si="358"/>
        <v>3.2916392363396972E-3</v>
      </c>
      <c r="CO191" s="7">
        <f t="shared" si="358"/>
        <v>-6.1012812690665037E-4</v>
      </c>
      <c r="CP191" s="7">
        <f t="shared" si="358"/>
        <v>4.2432814710042432E-3</v>
      </c>
      <c r="CQ191" s="7">
        <f t="shared" si="358"/>
        <v>-1.3568521031207597E-3</v>
      </c>
      <c r="CR191" s="7">
        <f t="shared" si="358"/>
        <v>1.5885623510722795E-3</v>
      </c>
      <c r="CS191" s="7">
        <f t="shared" si="358"/>
        <v>-8.9047195013357077E-4</v>
      </c>
      <c r="CT191" s="7">
        <f t="shared" si="358"/>
        <v>0</v>
      </c>
      <c r="CU191" s="7">
        <f t="shared" si="358"/>
        <v>0</v>
      </c>
      <c r="CV191" s="7">
        <f t="shared" si="358"/>
        <v>2.9850746268656717E-3</v>
      </c>
      <c r="CW191" s="7">
        <f t="shared" si="358"/>
        <v>0</v>
      </c>
      <c r="CX191" s="7">
        <f t="shared" si="358"/>
        <v>2.967359050445104E-3</v>
      </c>
      <c r="CY191" s="7">
        <f t="shared" si="358"/>
        <v>-3.8022813688212928E-3</v>
      </c>
    </row>
    <row r="192" spans="1:103" x14ac:dyDescent="0.3">
      <c r="A192" s="10">
        <v>2019</v>
      </c>
      <c r="C192" s="7">
        <f t="shared" ref="C192:BN192" si="359">C144/C45</f>
        <v>6.4646464646464645</v>
      </c>
      <c r="D192" s="7">
        <f t="shared" si="359"/>
        <v>17.94736842105263</v>
      </c>
      <c r="E192" s="7">
        <f t="shared" si="359"/>
        <v>18.100000000000001</v>
      </c>
      <c r="F192" s="7">
        <f t="shared" si="359"/>
        <v>36.333333333333336</v>
      </c>
      <c r="G192" s="7">
        <f t="shared" si="359"/>
        <v>22.333333333333332</v>
      </c>
      <c r="H192" s="7">
        <f t="shared" si="359"/>
        <v>29.75</v>
      </c>
      <c r="I192" s="7">
        <f t="shared" si="359"/>
        <v>56.666666666666664</v>
      </c>
      <c r="J192" s="7">
        <f t="shared" si="359"/>
        <v>65.5</v>
      </c>
      <c r="K192" s="7">
        <f t="shared" si="359"/>
        <v>58.666666666666664</v>
      </c>
      <c r="L192" s="7">
        <f t="shared" si="359"/>
        <v>54.4</v>
      </c>
      <c r="M192" s="7">
        <f t="shared" si="359"/>
        <v>35.75</v>
      </c>
      <c r="N192" s="7">
        <f t="shared" si="359"/>
        <v>125.5</v>
      </c>
      <c r="O192" s="7">
        <f t="shared" si="359"/>
        <v>49.166666666666664</v>
      </c>
      <c r="P192" s="7">
        <f t="shared" si="359"/>
        <v>31</v>
      </c>
      <c r="Q192" s="7">
        <f t="shared" si="359"/>
        <v>63.5</v>
      </c>
      <c r="R192" s="7">
        <f t="shared" si="359"/>
        <v>43.444444444444443</v>
      </c>
      <c r="S192" s="7">
        <f t="shared" si="359"/>
        <v>21.933333333333334</v>
      </c>
      <c r="T192" s="7">
        <f t="shared" si="359"/>
        <v>44.444444444444443</v>
      </c>
      <c r="U192" s="7">
        <f t="shared" si="359"/>
        <v>15.5625</v>
      </c>
      <c r="V192" s="7">
        <f t="shared" si="359"/>
        <v>9.9230769230769234</v>
      </c>
      <c r="W192" s="7">
        <f t="shared" si="359"/>
        <v>9.8484848484848477</v>
      </c>
      <c r="X192" s="7">
        <f t="shared" si="359"/>
        <v>17.5</v>
      </c>
      <c r="Y192" s="7">
        <f t="shared" si="359"/>
        <v>25.833333333333332</v>
      </c>
      <c r="Z192" s="7">
        <f t="shared" si="359"/>
        <v>34.93333333333333</v>
      </c>
      <c r="AA192" s="7">
        <f t="shared" si="359"/>
        <v>33.861111111111114</v>
      </c>
      <c r="AB192" s="7">
        <f t="shared" si="359"/>
        <v>44.517241379310342</v>
      </c>
      <c r="AC192" s="7">
        <f t="shared" si="359"/>
        <v>41.939393939393938</v>
      </c>
      <c r="AD192" s="7">
        <f t="shared" si="359"/>
        <v>47.384615384615387</v>
      </c>
      <c r="AE192" s="7">
        <f t="shared" si="359"/>
        <v>35.617647058823529</v>
      </c>
      <c r="AF192" s="7">
        <f t="shared" si="359"/>
        <v>33.65625</v>
      </c>
      <c r="AG192" s="7">
        <f t="shared" si="359"/>
        <v>29.5</v>
      </c>
      <c r="AH192" s="7">
        <f t="shared" si="359"/>
        <v>28.033333333333335</v>
      </c>
      <c r="AI192" s="7">
        <f t="shared" si="359"/>
        <v>17.469387755102041</v>
      </c>
      <c r="AJ192" s="7">
        <f t="shared" si="359"/>
        <v>23.774193548387096</v>
      </c>
      <c r="AK192" s="7">
        <f t="shared" si="359"/>
        <v>19.09090909090909</v>
      </c>
      <c r="AL192" s="7">
        <f t="shared" si="359"/>
        <v>15.725</v>
      </c>
      <c r="AM192" s="7">
        <f t="shared" si="359"/>
        <v>13.54054054054054</v>
      </c>
      <c r="AN192" s="7">
        <f t="shared" si="359"/>
        <v>10.061224489795919</v>
      </c>
      <c r="AO192" s="7">
        <f t="shared" si="359"/>
        <v>9.9285714285714288</v>
      </c>
      <c r="AP192" s="7">
        <f t="shared" si="359"/>
        <v>7.7021276595744679</v>
      </c>
      <c r="AQ192" s="7">
        <f t="shared" si="359"/>
        <v>5.3928571428571432</v>
      </c>
      <c r="AR192" s="7">
        <f t="shared" si="359"/>
        <v>7.2653061224489797</v>
      </c>
      <c r="AS192" s="7">
        <f t="shared" si="359"/>
        <v>6.7234042553191493</v>
      </c>
      <c r="AT192" s="7">
        <f t="shared" si="359"/>
        <v>3.953125</v>
      </c>
      <c r="AU192" s="7">
        <f t="shared" si="359"/>
        <v>4.08955223880597</v>
      </c>
      <c r="AV192" s="7">
        <f t="shared" si="359"/>
        <v>3.7721518987341773</v>
      </c>
      <c r="AW192" s="7">
        <f t="shared" si="359"/>
        <v>3.2682926829268291</v>
      </c>
      <c r="AX192" s="7">
        <f t="shared" si="359"/>
        <v>2.46875</v>
      </c>
      <c r="AY192" s="7">
        <f t="shared" si="359"/>
        <v>1.4444444444444444</v>
      </c>
      <c r="AZ192" s="7">
        <f t="shared" si="359"/>
        <v>1.787037037037037</v>
      </c>
      <c r="BA192" s="7">
        <f t="shared" si="359"/>
        <v>1.0252100840336134</v>
      </c>
      <c r="BB192" s="7">
        <f t="shared" si="359"/>
        <v>0.72799999999999998</v>
      </c>
      <c r="BC192" s="7">
        <f t="shared" si="359"/>
        <v>0.60818713450292394</v>
      </c>
      <c r="BD192" s="7">
        <f t="shared" si="359"/>
        <v>0.68027210884353739</v>
      </c>
      <c r="BE192" s="7">
        <f t="shared" si="359"/>
        <v>0.3282051282051282</v>
      </c>
      <c r="BF192" s="7">
        <f t="shared" si="359"/>
        <v>0.26470588235294118</v>
      </c>
      <c r="BG192" s="7">
        <f t="shared" si="359"/>
        <v>9.433962264150943E-3</v>
      </c>
      <c r="BH192" s="7">
        <f t="shared" si="359"/>
        <v>0.1471861471861472</v>
      </c>
      <c r="BI192" s="7">
        <f t="shared" si="359"/>
        <v>7.4999999999999997E-2</v>
      </c>
      <c r="BJ192" s="7">
        <f t="shared" si="359"/>
        <v>4.1666666666666664E-2</v>
      </c>
      <c r="BK192" s="7">
        <f t="shared" si="359"/>
        <v>-5.6338028169014086E-2</v>
      </c>
      <c r="BL192" s="7">
        <f t="shared" si="359"/>
        <v>-1.6286644951140065E-2</v>
      </c>
      <c r="BM192" s="7">
        <f t="shared" si="359"/>
        <v>-9.5367847411444148E-2</v>
      </c>
      <c r="BN192" s="7">
        <f t="shared" si="359"/>
        <v>-8.4705882352941173E-2</v>
      </c>
      <c r="BO192" s="7">
        <f t="shared" ref="BO192:CY192" si="360">BO144/BO45</f>
        <v>-1.6548463356973995E-2</v>
      </c>
      <c r="BP192" s="7">
        <f t="shared" si="360"/>
        <v>-3.4632034632034632E-2</v>
      </c>
      <c r="BQ192" s="7">
        <f t="shared" si="360"/>
        <v>-0.15546218487394958</v>
      </c>
      <c r="BR192" s="7">
        <f t="shared" si="360"/>
        <v>-5.3465346534653464E-2</v>
      </c>
      <c r="BS192" s="7">
        <f t="shared" si="360"/>
        <v>-1.1811023622047244E-2</v>
      </c>
      <c r="BT192" s="7">
        <f t="shared" si="360"/>
        <v>-2.4137931034482758E-2</v>
      </c>
      <c r="BU192" s="7">
        <f t="shared" si="360"/>
        <v>-1.0086455331412104E-2</v>
      </c>
      <c r="BV192" s="7">
        <f t="shared" si="360"/>
        <v>2.4930747922437674E-2</v>
      </c>
      <c r="BW192" s="7">
        <f t="shared" si="360"/>
        <v>4.6189376443418013E-3</v>
      </c>
      <c r="BX192" s="7">
        <f t="shared" si="360"/>
        <v>-3.2188841201716738E-3</v>
      </c>
      <c r="BY192" s="7">
        <f t="shared" si="360"/>
        <v>2.4439918533604887E-2</v>
      </c>
      <c r="BZ192" s="7">
        <f t="shared" si="360"/>
        <v>5.9642147117296221E-3</v>
      </c>
      <c r="CA192" s="7">
        <f t="shared" si="360"/>
        <v>2.3529411764705882E-2</v>
      </c>
      <c r="CB192" s="7">
        <f t="shared" si="360"/>
        <v>1.2618296529968454E-2</v>
      </c>
      <c r="CC192" s="7">
        <f t="shared" si="360"/>
        <v>1.8867924528301886E-2</v>
      </c>
      <c r="CD192" s="7">
        <f t="shared" si="360"/>
        <v>1.3986013986013986E-2</v>
      </c>
      <c r="CE192" s="7">
        <f t="shared" si="360"/>
        <v>1.0810810810810811E-2</v>
      </c>
      <c r="CF192" s="7">
        <f t="shared" si="360"/>
        <v>1.3761467889908258E-2</v>
      </c>
      <c r="CG192" s="7">
        <f t="shared" si="360"/>
        <v>5.3003533568904597E-3</v>
      </c>
      <c r="CH192" s="7">
        <f t="shared" si="360"/>
        <v>1.1774600504625737E-2</v>
      </c>
      <c r="CI192" s="7">
        <f t="shared" si="360"/>
        <v>7.716049382716049E-4</v>
      </c>
      <c r="CJ192" s="7">
        <f t="shared" si="360"/>
        <v>6.8912710566615618E-3</v>
      </c>
      <c r="CK192" s="7">
        <f t="shared" si="360"/>
        <v>1.488095238095238E-3</v>
      </c>
      <c r="CL192" s="7">
        <f t="shared" si="360"/>
        <v>6.1016949152542374E-3</v>
      </c>
      <c r="CM192" s="7">
        <f t="shared" si="360"/>
        <v>6.5146579804560263E-3</v>
      </c>
      <c r="CN192" s="7">
        <f t="shared" si="360"/>
        <v>-1.968503937007874E-3</v>
      </c>
      <c r="CO192" s="7">
        <f t="shared" si="360"/>
        <v>2.1023125437981782E-3</v>
      </c>
      <c r="CP192" s="7">
        <f t="shared" si="360"/>
        <v>2.7100271002710027E-3</v>
      </c>
      <c r="CQ192" s="7">
        <f t="shared" si="360"/>
        <v>-1.448225923244026E-3</v>
      </c>
      <c r="CR192" s="7">
        <f t="shared" si="360"/>
        <v>2.3904382470119521E-3</v>
      </c>
      <c r="CS192" s="7">
        <f t="shared" si="360"/>
        <v>-1.718213058419244E-3</v>
      </c>
      <c r="CT192" s="7">
        <f t="shared" si="360"/>
        <v>-3.0612244897959182E-3</v>
      </c>
      <c r="CU192" s="7">
        <f t="shared" si="360"/>
        <v>1.2738853503184713E-3</v>
      </c>
      <c r="CV192" s="7">
        <f t="shared" si="360"/>
        <v>-1.4144271570014145E-3</v>
      </c>
      <c r="CW192" s="7">
        <f t="shared" si="360"/>
        <v>3.663003663003663E-3</v>
      </c>
      <c r="CX192" s="7">
        <f t="shared" si="360"/>
        <v>-2.5706940874035988E-3</v>
      </c>
      <c r="CY192" s="7">
        <f t="shared" si="360"/>
        <v>0</v>
      </c>
    </row>
    <row r="193" spans="1:103" x14ac:dyDescent="0.3">
      <c r="A193" s="10">
        <v>2020</v>
      </c>
      <c r="C193" s="7">
        <f t="shared" ref="C193:BN193" si="361">C145/C46</f>
        <v>5.0365853658536581</v>
      </c>
      <c r="D193" s="7">
        <f t="shared" si="361"/>
        <v>9.0666666666666664</v>
      </c>
      <c r="E193" s="7">
        <f t="shared" si="361"/>
        <v>9.8333333333333339</v>
      </c>
      <c r="F193" s="7">
        <f t="shared" si="361"/>
        <v>0.7142857142857143</v>
      </c>
      <c r="G193" s="7">
        <f t="shared" si="361"/>
        <v>-13</v>
      </c>
      <c r="H193" s="7">
        <f t="shared" si="361"/>
        <v>-14.25</v>
      </c>
      <c r="I193" s="7">
        <f t="shared" si="361"/>
        <v>21</v>
      </c>
      <c r="J193" s="7">
        <f t="shared" si="361"/>
        <v>8.625</v>
      </c>
      <c r="K193" s="7">
        <f t="shared" si="361"/>
        <v>44.5</v>
      </c>
      <c r="L193" s="7">
        <f t="shared" si="361"/>
        <v>39</v>
      </c>
      <c r="M193" s="7">
        <f t="shared" si="361"/>
        <v>26.5</v>
      </c>
      <c r="N193" s="7">
        <f t="shared" si="361"/>
        <v>72</v>
      </c>
      <c r="O193" s="7">
        <f t="shared" si="361"/>
        <v>32.4</v>
      </c>
      <c r="P193" s="7">
        <f t="shared" si="361"/>
        <v>26.833333333333332</v>
      </c>
      <c r="Q193" s="7">
        <f t="shared" si="361"/>
        <v>20.555555555555557</v>
      </c>
      <c r="R193" s="7">
        <f t="shared" si="361"/>
        <v>19</v>
      </c>
      <c r="S193" s="7">
        <f t="shared" si="361"/>
        <v>21.636363636363637</v>
      </c>
      <c r="T193" s="7">
        <f t="shared" si="361"/>
        <v>13.826086956521738</v>
      </c>
      <c r="U193" s="7">
        <f t="shared" si="361"/>
        <v>9.7727272727272734</v>
      </c>
      <c r="V193" s="7">
        <f t="shared" si="361"/>
        <v>0.31578947368421051</v>
      </c>
      <c r="W193" s="7">
        <f t="shared" si="361"/>
        <v>5.5384615384615383</v>
      </c>
      <c r="X193" s="7">
        <f t="shared" si="361"/>
        <v>10.523809523809524</v>
      </c>
      <c r="Y193" s="7">
        <f t="shared" si="361"/>
        <v>13.56</v>
      </c>
      <c r="Z193" s="7">
        <f t="shared" si="361"/>
        <v>23.952380952380953</v>
      </c>
      <c r="AA193" s="7">
        <f t="shared" si="361"/>
        <v>27.76923076923077</v>
      </c>
      <c r="AB193" s="7">
        <f t="shared" si="361"/>
        <v>28.733333333333334</v>
      </c>
      <c r="AC193" s="7">
        <f t="shared" si="361"/>
        <v>22.342105263157894</v>
      </c>
      <c r="AD193" s="7">
        <f t="shared" si="361"/>
        <v>19.5</v>
      </c>
      <c r="AE193" s="7">
        <f t="shared" si="361"/>
        <v>22.464285714285715</v>
      </c>
      <c r="AF193" s="7">
        <f t="shared" si="361"/>
        <v>14.272727272727273</v>
      </c>
      <c r="AG193" s="7">
        <f t="shared" si="361"/>
        <v>12.44</v>
      </c>
      <c r="AH193" s="7">
        <f t="shared" si="361"/>
        <v>8.844444444444445</v>
      </c>
      <c r="AI193" s="7">
        <f t="shared" si="361"/>
        <v>6.6486486486486482</v>
      </c>
      <c r="AJ193" s="7">
        <f t="shared" si="361"/>
        <v>9</v>
      </c>
      <c r="AK193" s="7">
        <f t="shared" si="361"/>
        <v>6.1944444444444446</v>
      </c>
      <c r="AL193" s="7">
        <f t="shared" si="361"/>
        <v>2.1666666666666665</v>
      </c>
      <c r="AM193" s="7">
        <f t="shared" si="361"/>
        <v>2.8809523809523809</v>
      </c>
      <c r="AN193" s="7">
        <f t="shared" si="361"/>
        <v>2.6666666666666665</v>
      </c>
      <c r="AO193" s="7">
        <f t="shared" si="361"/>
        <v>3.4545454545454546</v>
      </c>
      <c r="AP193" s="7">
        <f t="shared" si="361"/>
        <v>2.75</v>
      </c>
      <c r="AQ193" s="7">
        <f t="shared" si="361"/>
        <v>1.7457627118644068</v>
      </c>
      <c r="AR193" s="7">
        <f t="shared" si="361"/>
        <v>1.8214285714285714</v>
      </c>
      <c r="AS193" s="7">
        <f t="shared" si="361"/>
        <v>2.338709677419355</v>
      </c>
      <c r="AT193" s="7">
        <f t="shared" si="361"/>
        <v>0.5</v>
      </c>
      <c r="AU193" s="7">
        <f t="shared" si="361"/>
        <v>2.4776119402985075</v>
      </c>
      <c r="AV193" s="7">
        <f t="shared" si="361"/>
        <v>2.064516129032258</v>
      </c>
      <c r="AW193" s="7">
        <f t="shared" si="361"/>
        <v>1.4545454545454546</v>
      </c>
      <c r="AX193" s="7">
        <f t="shared" si="361"/>
        <v>0.50495049504950495</v>
      </c>
      <c r="AY193" s="7">
        <f t="shared" si="361"/>
        <v>0.5178571428571429</v>
      </c>
      <c r="AZ193" s="7">
        <f t="shared" si="361"/>
        <v>0.52447552447552448</v>
      </c>
      <c r="BA193" s="7">
        <f t="shared" si="361"/>
        <v>0.46551724137931033</v>
      </c>
      <c r="BB193" s="7">
        <f t="shared" si="361"/>
        <v>0.29577464788732394</v>
      </c>
      <c r="BC193" s="7">
        <f t="shared" si="361"/>
        <v>0.28767123287671231</v>
      </c>
      <c r="BD193" s="7">
        <f t="shared" si="361"/>
        <v>0.22222222222222221</v>
      </c>
      <c r="BE193" s="7">
        <f t="shared" si="361"/>
        <v>0.21111111111111111</v>
      </c>
      <c r="BF193" s="7">
        <f t="shared" si="361"/>
        <v>9.9447513812154692E-2</v>
      </c>
      <c r="BG193" s="7">
        <f t="shared" si="361"/>
        <v>0.13100436681222707</v>
      </c>
      <c r="BH193" s="7">
        <f t="shared" si="361"/>
        <v>0.08</v>
      </c>
      <c r="BI193" s="7">
        <f t="shared" si="361"/>
        <v>-9.9137931034482762E-2</v>
      </c>
      <c r="BJ193" s="7">
        <f t="shared" si="361"/>
        <v>-2.0576131687242798E-2</v>
      </c>
      <c r="BK193" s="7">
        <f t="shared" si="361"/>
        <v>1.0830324909747292E-2</v>
      </c>
      <c r="BL193" s="7">
        <f t="shared" si="361"/>
        <v>-6.5743944636678195E-2</v>
      </c>
      <c r="BM193" s="7">
        <f t="shared" si="361"/>
        <v>-0.10787172011661808</v>
      </c>
      <c r="BN193" s="7">
        <f t="shared" si="361"/>
        <v>-0.12096774193548387</v>
      </c>
      <c r="BO193" s="7">
        <f t="shared" ref="BO193:CY193" si="362">BO145/BO46</f>
        <v>-0.16080402010050251</v>
      </c>
      <c r="BP193" s="7">
        <f t="shared" si="362"/>
        <v>-6.5727699530516437E-2</v>
      </c>
      <c r="BQ193" s="7">
        <f t="shared" si="362"/>
        <v>-0.11914893617021277</v>
      </c>
      <c r="BR193" s="7">
        <f t="shared" si="362"/>
        <v>-2.2058823529411766E-2</v>
      </c>
      <c r="BS193" s="7">
        <f t="shared" si="362"/>
        <v>-8.1081081081081086E-2</v>
      </c>
      <c r="BT193" s="7">
        <f t="shared" si="362"/>
        <v>-3.9182282793867124E-2</v>
      </c>
      <c r="BU193" s="7">
        <f t="shared" si="362"/>
        <v>-1.8835616438356163E-2</v>
      </c>
      <c r="BV193" s="7">
        <f t="shared" si="362"/>
        <v>2.9947916666666668E-2</v>
      </c>
      <c r="BW193" s="7">
        <f t="shared" si="362"/>
        <v>1.1221945137157107E-2</v>
      </c>
      <c r="BX193" s="7">
        <f t="shared" si="362"/>
        <v>2.1834061135371178E-2</v>
      </c>
      <c r="BY193" s="7">
        <f t="shared" si="362"/>
        <v>1.383399209486166E-2</v>
      </c>
      <c r="BZ193" s="7">
        <f t="shared" si="362"/>
        <v>2.4832855778414518E-2</v>
      </c>
      <c r="CA193" s="7">
        <f t="shared" si="362"/>
        <v>1.8905472636815919E-2</v>
      </c>
      <c r="CB193" s="7">
        <f t="shared" si="362"/>
        <v>1.1410788381742738E-2</v>
      </c>
      <c r="CC193" s="7">
        <f t="shared" si="362"/>
        <v>3.0060120240480962E-3</v>
      </c>
      <c r="CD193" s="7">
        <f t="shared" si="362"/>
        <v>7.1574642126789366E-3</v>
      </c>
      <c r="CE193" s="7">
        <f t="shared" si="362"/>
        <v>6.4516129032258064E-3</v>
      </c>
      <c r="CF193" s="7">
        <f t="shared" si="362"/>
        <v>1.0471204188481676E-2</v>
      </c>
      <c r="CG193" s="7">
        <f t="shared" si="362"/>
        <v>1.3793103448275862E-2</v>
      </c>
      <c r="CH193" s="7">
        <f t="shared" si="362"/>
        <v>5.5955235811350921E-3</v>
      </c>
      <c r="CI193" s="7">
        <f t="shared" si="362"/>
        <v>5.5511498810467885E-3</v>
      </c>
      <c r="CJ193" s="7">
        <f t="shared" si="362"/>
        <v>3.7509377344336083E-3</v>
      </c>
      <c r="CK193" s="7">
        <f t="shared" si="362"/>
        <v>3.7965072133637054E-3</v>
      </c>
      <c r="CL193" s="7">
        <f t="shared" si="362"/>
        <v>7.5357950263752827E-4</v>
      </c>
      <c r="CM193" s="7">
        <f t="shared" si="362"/>
        <v>-6.9686411149825784E-4</v>
      </c>
      <c r="CN193" s="7">
        <f t="shared" si="362"/>
        <v>-1.2853470437017994E-3</v>
      </c>
      <c r="CO193" s="7">
        <f t="shared" si="362"/>
        <v>2.5252525252525255E-3</v>
      </c>
      <c r="CP193" s="7">
        <f t="shared" si="362"/>
        <v>-4.2704626334519576E-3</v>
      </c>
      <c r="CQ193" s="7">
        <f t="shared" si="362"/>
        <v>7.6335877862595419E-4</v>
      </c>
      <c r="CR193" s="7">
        <f t="shared" si="362"/>
        <v>4.0518638573743921E-3</v>
      </c>
      <c r="CS193" s="7">
        <f t="shared" si="362"/>
        <v>-2.4896265560165973E-3</v>
      </c>
      <c r="CT193" s="7">
        <f t="shared" si="362"/>
        <v>-1.0351966873706005E-3</v>
      </c>
      <c r="CU193" s="7">
        <f t="shared" si="362"/>
        <v>-3.6188178528347406E-3</v>
      </c>
      <c r="CV193" s="7">
        <f t="shared" si="362"/>
        <v>2.9154518950437317E-3</v>
      </c>
      <c r="CW193" s="7">
        <f t="shared" si="362"/>
        <v>-3.7593984962406013E-3</v>
      </c>
      <c r="CX193" s="7">
        <f t="shared" si="362"/>
        <v>-2.6595744680851063E-3</v>
      </c>
      <c r="CY193" s="7">
        <f t="shared" si="362"/>
        <v>3.3783783783783786E-3</v>
      </c>
    </row>
    <row r="194" spans="1:103" x14ac:dyDescent="0.3">
      <c r="A194" s="10">
        <v>2021</v>
      </c>
      <c r="C194" s="7">
        <f t="shared" ref="C194:BN194" si="363">C146/C47</f>
        <v>6.0326086956521738</v>
      </c>
      <c r="D194" s="7">
        <f t="shared" si="363"/>
        <v>22.066666666666666</v>
      </c>
      <c r="E194" s="7">
        <f t="shared" si="363"/>
        <v>25.666666666666668</v>
      </c>
      <c r="F194" s="7">
        <f t="shared" si="363"/>
        <v>45</v>
      </c>
      <c r="G194" s="7">
        <f t="shared" si="363"/>
        <v>43.333333333333336</v>
      </c>
      <c r="H194" s="7">
        <f t="shared" si="363"/>
        <v>-2.3333333333333335</v>
      </c>
      <c r="I194" s="7"/>
      <c r="J194" s="7">
        <f t="shared" si="363"/>
        <v>50</v>
      </c>
      <c r="K194" s="7">
        <f t="shared" si="363"/>
        <v>43.75</v>
      </c>
      <c r="L194" s="7">
        <f t="shared" si="363"/>
        <v>41.5</v>
      </c>
      <c r="M194" s="7">
        <f t="shared" si="363"/>
        <v>38.833333333333336</v>
      </c>
      <c r="N194" s="7">
        <f t="shared" si="363"/>
        <v>45.5</v>
      </c>
      <c r="O194" s="7">
        <f t="shared" si="363"/>
        <v>32.125</v>
      </c>
      <c r="P194" s="7">
        <f t="shared" si="363"/>
        <v>29.25</v>
      </c>
      <c r="Q194" s="7">
        <f t="shared" si="363"/>
        <v>43</v>
      </c>
      <c r="R194" s="7">
        <f t="shared" si="363"/>
        <v>36.666666666666664</v>
      </c>
      <c r="S194" s="7">
        <f t="shared" si="363"/>
        <v>17.352941176470587</v>
      </c>
      <c r="T194" s="7">
        <f t="shared" si="363"/>
        <v>22.444444444444443</v>
      </c>
      <c r="U194" s="7">
        <f t="shared" si="363"/>
        <v>11.041666666666666</v>
      </c>
      <c r="V194" s="7">
        <f t="shared" si="363"/>
        <v>17.166666666666668</v>
      </c>
      <c r="W194" s="7">
        <f t="shared" si="363"/>
        <v>31.533333333333335</v>
      </c>
      <c r="X194" s="7">
        <f t="shared" si="363"/>
        <v>20.9</v>
      </c>
      <c r="Y194" s="7">
        <f t="shared" si="363"/>
        <v>36.217391304347828</v>
      </c>
      <c r="Z194" s="7">
        <f t="shared" si="363"/>
        <v>47.384615384615387</v>
      </c>
      <c r="AA194" s="7">
        <f t="shared" si="363"/>
        <v>73.736842105263165</v>
      </c>
      <c r="AB194" s="7">
        <f t="shared" si="363"/>
        <v>51.464285714285715</v>
      </c>
      <c r="AC194" s="7">
        <f t="shared" si="363"/>
        <v>50.909090909090907</v>
      </c>
      <c r="AD194" s="7">
        <f t="shared" si="363"/>
        <v>36.40625</v>
      </c>
      <c r="AE194" s="7">
        <f t="shared" si="363"/>
        <v>30.575757575757574</v>
      </c>
      <c r="AF194" s="7">
        <f t="shared" si="363"/>
        <v>27</v>
      </c>
      <c r="AG194" s="7">
        <f t="shared" si="363"/>
        <v>27</v>
      </c>
      <c r="AH194" s="7">
        <f t="shared" si="363"/>
        <v>19.444444444444443</v>
      </c>
      <c r="AI194" s="7">
        <f t="shared" si="363"/>
        <v>16.133333333333333</v>
      </c>
      <c r="AJ194" s="7">
        <f t="shared" si="363"/>
        <v>9.8974358974358978</v>
      </c>
      <c r="AK194" s="7">
        <f t="shared" si="363"/>
        <v>8.0625</v>
      </c>
      <c r="AL194" s="7">
        <f t="shared" si="363"/>
        <v>8.1999999999999993</v>
      </c>
      <c r="AM194" s="7">
        <f t="shared" si="363"/>
        <v>5.3428571428571425</v>
      </c>
      <c r="AN194" s="7">
        <f t="shared" si="363"/>
        <v>6.3793103448275863</v>
      </c>
      <c r="AO194" s="7">
        <f t="shared" si="363"/>
        <v>3.2203389830508473</v>
      </c>
      <c r="AP194" s="7">
        <f t="shared" si="363"/>
        <v>2.7068965517241379</v>
      </c>
      <c r="AQ194" s="7">
        <f t="shared" si="363"/>
        <v>2.9807692307692308</v>
      </c>
      <c r="AR194" s="7">
        <f t="shared" si="363"/>
        <v>2.3695652173913042</v>
      </c>
      <c r="AS194" s="7">
        <f t="shared" si="363"/>
        <v>2.65625</v>
      </c>
      <c r="AT194" s="7">
        <f t="shared" si="363"/>
        <v>2.6785714285714284</v>
      </c>
      <c r="AU194" s="7">
        <f t="shared" si="363"/>
        <v>1.661764705882353</v>
      </c>
      <c r="AV194" s="7">
        <f t="shared" si="363"/>
        <v>2.6086956521739131</v>
      </c>
      <c r="AW194" s="7">
        <f t="shared" si="363"/>
        <v>1.7439024390243902</v>
      </c>
      <c r="AX194" s="7">
        <f t="shared" si="363"/>
        <v>0.49</v>
      </c>
      <c r="AY194" s="7">
        <f t="shared" si="363"/>
        <v>1.2626262626262625</v>
      </c>
      <c r="AZ194" s="7">
        <f t="shared" si="363"/>
        <v>1.4086956521739131</v>
      </c>
      <c r="BA194" s="7">
        <f t="shared" si="363"/>
        <v>0.99180327868852458</v>
      </c>
      <c r="BB194" s="7">
        <f t="shared" si="363"/>
        <v>0.53956834532374098</v>
      </c>
      <c r="BC194" s="7">
        <f t="shared" si="363"/>
        <v>0.60479041916167664</v>
      </c>
      <c r="BD194" s="7">
        <f t="shared" si="363"/>
        <v>0.37142857142857144</v>
      </c>
      <c r="BE194" s="7">
        <f t="shared" si="363"/>
        <v>-8.9171974522292988E-2</v>
      </c>
      <c r="BF194" s="7">
        <f t="shared" si="363"/>
        <v>-2.5906735751295335E-2</v>
      </c>
      <c r="BG194" s="7">
        <f t="shared" si="363"/>
        <v>-2.643171806167401E-2</v>
      </c>
      <c r="BH194" s="7">
        <f t="shared" si="363"/>
        <v>4.4247787610619468E-3</v>
      </c>
      <c r="BI194" s="7">
        <f t="shared" si="363"/>
        <v>0.10441767068273092</v>
      </c>
      <c r="BJ194" s="7">
        <f t="shared" si="363"/>
        <v>1.5209125475285171E-2</v>
      </c>
      <c r="BK194" s="7">
        <f t="shared" si="363"/>
        <v>-3.125E-2</v>
      </c>
      <c r="BL194" s="7">
        <f t="shared" si="363"/>
        <v>-0.18181818181818182</v>
      </c>
      <c r="BM194" s="7">
        <f t="shared" si="363"/>
        <v>-0.14826498422712933</v>
      </c>
      <c r="BN194" s="7">
        <f t="shared" si="363"/>
        <v>-0.10182767624020887</v>
      </c>
      <c r="BO194" s="7">
        <f t="shared" ref="BO194:CY194" si="364">BO146/BO47</f>
        <v>-0.10426540284360189</v>
      </c>
      <c r="BP194" s="7">
        <f t="shared" si="364"/>
        <v>-0.15291750503018109</v>
      </c>
      <c r="BQ194" s="7">
        <f t="shared" si="364"/>
        <v>-0.16288659793814433</v>
      </c>
      <c r="BR194" s="7">
        <f t="shared" si="364"/>
        <v>-0.12</v>
      </c>
      <c r="BS194" s="7">
        <f t="shared" si="364"/>
        <v>-4.0229885057471264E-2</v>
      </c>
      <c r="BT194" s="7">
        <f t="shared" si="364"/>
        <v>6.6555740432612314E-3</v>
      </c>
      <c r="BU194" s="7">
        <f t="shared" si="364"/>
        <v>-3.2573289902280132E-3</v>
      </c>
      <c r="BV194" s="7">
        <f t="shared" si="364"/>
        <v>-6.8965517241379309E-3</v>
      </c>
      <c r="BW194" s="7">
        <f t="shared" si="364"/>
        <v>-7.4441687344913151E-3</v>
      </c>
      <c r="BX194" s="7">
        <f t="shared" si="364"/>
        <v>2.5027203482045703E-2</v>
      </c>
      <c r="BY194" s="7">
        <f t="shared" si="364"/>
        <v>-1.0235414534288639E-2</v>
      </c>
      <c r="BZ194" s="7">
        <f t="shared" si="364"/>
        <v>1.6172506738544475E-2</v>
      </c>
      <c r="CA194" s="7">
        <f t="shared" si="364"/>
        <v>-9.0826521344232513E-4</v>
      </c>
      <c r="CB194" s="7">
        <f t="shared" si="364"/>
        <v>1.6550522648083623E-2</v>
      </c>
      <c r="CC194" s="7">
        <f t="shared" si="364"/>
        <v>6.0553633217993079E-3</v>
      </c>
      <c r="CD194" s="7">
        <f t="shared" si="364"/>
        <v>6.2222222222222219E-3</v>
      </c>
      <c r="CE194" s="7">
        <f t="shared" si="364"/>
        <v>9.0452261306532659E-3</v>
      </c>
      <c r="CF194" s="7">
        <f t="shared" si="364"/>
        <v>-1.6750418760469012E-3</v>
      </c>
      <c r="CG194" s="7">
        <f t="shared" si="364"/>
        <v>1.103230890464933E-2</v>
      </c>
      <c r="CH194" s="7">
        <f t="shared" si="364"/>
        <v>-7.6687116564417178E-3</v>
      </c>
      <c r="CI194" s="7">
        <f t="shared" si="364"/>
        <v>1.308139534883721E-2</v>
      </c>
      <c r="CJ194" s="7">
        <f t="shared" si="364"/>
        <v>0</v>
      </c>
      <c r="CK194" s="7">
        <f t="shared" si="364"/>
        <v>0</v>
      </c>
      <c r="CL194" s="7">
        <f t="shared" si="364"/>
        <v>-5.3297801465689541E-3</v>
      </c>
      <c r="CM194" s="7">
        <f t="shared" si="364"/>
        <v>1.9867549668874172E-3</v>
      </c>
      <c r="CN194" s="7">
        <f t="shared" si="364"/>
        <v>-6.1919504643962852E-4</v>
      </c>
      <c r="CO194" s="7">
        <f t="shared" si="364"/>
        <v>-1.2919896640826874E-3</v>
      </c>
      <c r="CP194" s="7">
        <f t="shared" si="364"/>
        <v>-1.3783597518952446E-3</v>
      </c>
      <c r="CQ194" s="7">
        <f t="shared" si="364"/>
        <v>1.483679525222552E-3</v>
      </c>
      <c r="CR194" s="7">
        <f t="shared" si="364"/>
        <v>7.6863950807071484E-4</v>
      </c>
      <c r="CS194" s="7">
        <f t="shared" si="364"/>
        <v>8.5836909871244631E-4</v>
      </c>
      <c r="CT194" s="7">
        <f t="shared" si="364"/>
        <v>-4.1109969167523125E-3</v>
      </c>
      <c r="CU194" s="7">
        <f t="shared" si="364"/>
        <v>-1.2121212121212121E-3</v>
      </c>
      <c r="CV194" s="7">
        <f t="shared" si="364"/>
        <v>-1.3793103448275861E-3</v>
      </c>
      <c r="CW194" s="7">
        <f t="shared" si="364"/>
        <v>0</v>
      </c>
      <c r="CX194" s="7">
        <f t="shared" si="364"/>
        <v>0</v>
      </c>
      <c r="CY194" s="7">
        <f t="shared" si="364"/>
        <v>-6.5789473684210523E-3</v>
      </c>
    </row>
    <row r="195" spans="1:103" x14ac:dyDescent="0.3">
      <c r="A195" s="10">
        <v>2022</v>
      </c>
      <c r="C195" s="7">
        <f t="shared" ref="C195:BN195" si="365">C147/C48</f>
        <v>11.541176470588235</v>
      </c>
      <c r="D195" s="7">
        <f t="shared" si="365"/>
        <v>46.208333333333336</v>
      </c>
      <c r="E195" s="7">
        <f t="shared" si="365"/>
        <v>182.2</v>
      </c>
      <c r="F195" s="7">
        <f t="shared" si="365"/>
        <v>142.83333333333334</v>
      </c>
      <c r="G195" s="7">
        <f t="shared" si="365"/>
        <v>206.25</v>
      </c>
      <c r="H195" s="7">
        <f t="shared" si="365"/>
        <v>165.4</v>
      </c>
      <c r="I195" s="7">
        <f t="shared" si="365"/>
        <v>183</v>
      </c>
      <c r="J195" s="7">
        <f t="shared" si="365"/>
        <v>129.71428571428572</v>
      </c>
      <c r="K195" s="7">
        <f t="shared" si="365"/>
        <v>452</v>
      </c>
      <c r="L195" s="7">
        <f t="shared" si="365"/>
        <v>467.5</v>
      </c>
      <c r="M195" s="7">
        <f t="shared" si="365"/>
        <v>125.85714285714286</v>
      </c>
      <c r="N195" s="7">
        <f t="shared" si="365"/>
        <v>129.42857142857142</v>
      </c>
      <c r="O195" s="7">
        <f t="shared" si="365"/>
        <v>928</v>
      </c>
      <c r="P195" s="7">
        <f t="shared" si="365"/>
        <v>162.5</v>
      </c>
      <c r="Q195" s="7">
        <f t="shared" si="365"/>
        <v>322.66666666666669</v>
      </c>
      <c r="R195" s="7">
        <f t="shared" si="365"/>
        <v>83.272727272727266</v>
      </c>
      <c r="S195" s="7">
        <f t="shared" si="365"/>
        <v>132.71428571428572</v>
      </c>
      <c r="T195" s="7">
        <f t="shared" si="365"/>
        <v>80</v>
      </c>
      <c r="U195" s="7">
        <f t="shared" si="365"/>
        <v>45.8125</v>
      </c>
      <c r="V195" s="7">
        <f t="shared" si="365"/>
        <v>42.666666666666664</v>
      </c>
      <c r="W195" s="7">
        <f t="shared" si="365"/>
        <v>38.880000000000003</v>
      </c>
      <c r="X195" s="7">
        <f t="shared" si="365"/>
        <v>41.481481481481481</v>
      </c>
      <c r="Y195" s="7">
        <f t="shared" si="365"/>
        <v>74.777777777777771</v>
      </c>
      <c r="Z195" s="7">
        <f t="shared" si="365"/>
        <v>79.5</v>
      </c>
      <c r="AA195" s="7">
        <f t="shared" si="365"/>
        <v>67.416666666666671</v>
      </c>
      <c r="AB195" s="7">
        <f t="shared" si="365"/>
        <v>62.153846153846153</v>
      </c>
      <c r="AC195" s="7">
        <f t="shared" si="365"/>
        <v>47.485714285714288</v>
      </c>
      <c r="AD195" s="7">
        <f t="shared" si="365"/>
        <v>61.285714285714285</v>
      </c>
      <c r="AE195" s="7">
        <f t="shared" si="365"/>
        <v>41.974358974358971</v>
      </c>
      <c r="AF195" s="7">
        <f t="shared" si="365"/>
        <v>45.611111111111114</v>
      </c>
      <c r="AG195" s="7">
        <f t="shared" si="365"/>
        <v>41.361111111111114</v>
      </c>
      <c r="AH195" s="7">
        <f t="shared" si="365"/>
        <v>40.617647058823529</v>
      </c>
      <c r="AI195" s="7">
        <f t="shared" si="365"/>
        <v>46.107142857142854</v>
      </c>
      <c r="AJ195" s="7">
        <f t="shared" si="365"/>
        <v>29.952380952380953</v>
      </c>
      <c r="AK195" s="7">
        <f t="shared" si="365"/>
        <v>28.452380952380953</v>
      </c>
      <c r="AL195" s="7">
        <f t="shared" si="365"/>
        <v>45.692307692307693</v>
      </c>
      <c r="AM195" s="7">
        <f t="shared" si="365"/>
        <v>33.058823529411768</v>
      </c>
      <c r="AN195" s="7">
        <f t="shared" si="365"/>
        <v>25.209302325581394</v>
      </c>
      <c r="AO195" s="7">
        <f t="shared" si="365"/>
        <v>24.238095238095237</v>
      </c>
      <c r="AP195" s="7">
        <f t="shared" si="365"/>
        <v>17.431034482758619</v>
      </c>
      <c r="AQ195" s="7">
        <f t="shared" si="365"/>
        <v>15.092592592592593</v>
      </c>
      <c r="AR195" s="7">
        <f t="shared" si="365"/>
        <v>16.153846153846153</v>
      </c>
      <c r="AS195" s="7">
        <f t="shared" si="365"/>
        <v>11.75</v>
      </c>
      <c r="AT195" s="7">
        <f t="shared" si="365"/>
        <v>10.96774193548387</v>
      </c>
      <c r="AU195" s="7">
        <f t="shared" si="365"/>
        <v>7.6395348837209305</v>
      </c>
      <c r="AV195" s="7">
        <f t="shared" si="365"/>
        <v>8.0921052631578956</v>
      </c>
      <c r="AW195" s="7">
        <f t="shared" si="365"/>
        <v>4.92</v>
      </c>
      <c r="AX195" s="7">
        <f t="shared" si="365"/>
        <v>5.7078651685393256</v>
      </c>
      <c r="AY195" s="7">
        <f t="shared" si="365"/>
        <v>3.9705882352941178</v>
      </c>
      <c r="AZ195" s="7">
        <f t="shared" si="365"/>
        <v>3.4958677685950414</v>
      </c>
      <c r="BA195" s="7">
        <f t="shared" si="365"/>
        <v>2.3846153846153846</v>
      </c>
      <c r="BB195" s="7">
        <f t="shared" si="365"/>
        <v>2.2838709677419353</v>
      </c>
      <c r="BC195" s="7">
        <f t="shared" si="365"/>
        <v>2.3309859154929575</v>
      </c>
      <c r="BD195" s="7">
        <f t="shared" si="365"/>
        <v>1.4926829268292683</v>
      </c>
      <c r="BE195" s="7">
        <f t="shared" si="365"/>
        <v>1.4278350515463918</v>
      </c>
      <c r="BF195" s="7">
        <f t="shared" si="365"/>
        <v>1.1052631578947369</v>
      </c>
      <c r="BG195" s="7">
        <f t="shared" si="365"/>
        <v>0.52777777777777779</v>
      </c>
      <c r="BH195" s="7">
        <f t="shared" si="365"/>
        <v>0.8571428571428571</v>
      </c>
      <c r="BI195" s="7">
        <f t="shared" si="365"/>
        <v>0.80073800738007384</v>
      </c>
      <c r="BJ195" s="7">
        <f t="shared" si="365"/>
        <v>0.89965397923875434</v>
      </c>
      <c r="BK195" s="7">
        <f t="shared" si="365"/>
        <v>1.0638297872340425</v>
      </c>
      <c r="BL195" s="7">
        <f t="shared" si="365"/>
        <v>0.8619631901840491</v>
      </c>
      <c r="BM195" s="7">
        <f t="shared" si="365"/>
        <v>0.68468468468468469</v>
      </c>
      <c r="BN195" s="7">
        <f t="shared" si="365"/>
        <v>0.54545454545454541</v>
      </c>
      <c r="BO195" s="7">
        <f t="shared" ref="BO195:CY195" si="366">BO147/BO48</f>
        <v>0.47505938242280282</v>
      </c>
      <c r="BP195" s="7">
        <f t="shared" si="366"/>
        <v>0.44495412844036697</v>
      </c>
      <c r="BQ195" s="7">
        <f t="shared" si="366"/>
        <v>0.28228782287822879</v>
      </c>
      <c r="BR195" s="7">
        <f t="shared" si="366"/>
        <v>0.26992753623188404</v>
      </c>
      <c r="BS195" s="7">
        <f t="shared" si="366"/>
        <v>0.23156089193825044</v>
      </c>
      <c r="BT195" s="7">
        <f t="shared" si="366"/>
        <v>0.22395023328149299</v>
      </c>
      <c r="BU195" s="7">
        <f t="shared" si="366"/>
        <v>0.19148936170212766</v>
      </c>
      <c r="BV195" s="7">
        <f t="shared" si="366"/>
        <v>0.25</v>
      </c>
      <c r="BW195" s="7">
        <f t="shared" si="366"/>
        <v>0.18062200956937799</v>
      </c>
      <c r="BX195" s="7">
        <f t="shared" si="366"/>
        <v>0.15942028985507245</v>
      </c>
      <c r="BY195" s="7">
        <f t="shared" si="366"/>
        <v>0.1</v>
      </c>
      <c r="BZ195" s="7">
        <f t="shared" si="366"/>
        <v>8.6513994910941472E-2</v>
      </c>
      <c r="CA195" s="7">
        <f t="shared" si="366"/>
        <v>3.7444933920704845E-2</v>
      </c>
      <c r="CB195" s="7">
        <f t="shared" si="366"/>
        <v>4.6850998463901693E-2</v>
      </c>
      <c r="CC195" s="7">
        <f t="shared" si="366"/>
        <v>3.8259564891222807E-2</v>
      </c>
      <c r="CD195" s="7">
        <f t="shared" si="366"/>
        <v>4.3035993740219089E-2</v>
      </c>
      <c r="CE195" s="7">
        <f t="shared" si="366"/>
        <v>4.6548956661316213E-2</v>
      </c>
      <c r="CF195" s="7">
        <f t="shared" si="366"/>
        <v>2.8759244042728019E-2</v>
      </c>
      <c r="CG195" s="7">
        <f t="shared" si="366"/>
        <v>2.6925953627524309E-2</v>
      </c>
      <c r="CH195" s="7">
        <f t="shared" si="366"/>
        <v>1.518288474810214E-2</v>
      </c>
      <c r="CI195" s="7">
        <f t="shared" si="366"/>
        <v>2.4832214765100672E-2</v>
      </c>
      <c r="CJ195" s="7">
        <f t="shared" si="366"/>
        <v>1.6578249336870028E-2</v>
      </c>
      <c r="CK195" s="7">
        <f t="shared" si="366"/>
        <v>9.0439276485788107E-3</v>
      </c>
      <c r="CL195" s="7">
        <f t="shared" si="366"/>
        <v>4.7043010752688174E-3</v>
      </c>
      <c r="CM195" s="7">
        <f t="shared" si="366"/>
        <v>1.2453300124533001E-3</v>
      </c>
      <c r="CN195" s="7">
        <f t="shared" si="366"/>
        <v>5.528255528255528E-3</v>
      </c>
      <c r="CO195" s="7">
        <f t="shared" si="366"/>
        <v>0</v>
      </c>
      <c r="CP195" s="7">
        <f t="shared" si="366"/>
        <v>6.3331222292590248E-4</v>
      </c>
      <c r="CQ195" s="7">
        <f t="shared" si="366"/>
        <v>-1.238390092879257E-3</v>
      </c>
      <c r="CR195" s="7">
        <f t="shared" si="366"/>
        <v>-7.2254335260115603E-4</v>
      </c>
      <c r="CS195" s="7">
        <f t="shared" si="366"/>
        <v>-7.8431372549019605E-4</v>
      </c>
      <c r="CT195" s="7">
        <f t="shared" si="366"/>
        <v>5.3811659192825115E-3</v>
      </c>
      <c r="CU195" s="7">
        <f t="shared" si="366"/>
        <v>-5.0916496945010185E-3</v>
      </c>
      <c r="CV195" s="7">
        <f t="shared" si="366"/>
        <v>2.5510204081632651E-3</v>
      </c>
      <c r="CW195" s="7">
        <f t="shared" si="366"/>
        <v>-1.6556291390728477E-3</v>
      </c>
      <c r="CX195" s="7">
        <f t="shared" si="366"/>
        <v>0</v>
      </c>
      <c r="CY195" s="7">
        <f t="shared" si="366"/>
        <v>0</v>
      </c>
    </row>
    <row r="196" spans="1:103" x14ac:dyDescent="0.3">
      <c r="B196" s="8" t="s">
        <v>22</v>
      </c>
      <c r="C196" s="8">
        <f t="shared" ref="C196" si="367">AVERAGE(C176:C195)</f>
        <v>6.1231387632352696</v>
      </c>
      <c r="D196" s="8">
        <f t="shared" ref="D196:BO196" si="368">AVERAGE(D176:D195)</f>
        <v>22.609535265645949</v>
      </c>
      <c r="E196" s="8">
        <f t="shared" si="368"/>
        <v>45.791300366300369</v>
      </c>
      <c r="F196" s="8">
        <f t="shared" si="368"/>
        <v>53.449752886002898</v>
      </c>
      <c r="G196" s="8">
        <f t="shared" si="368"/>
        <v>83.65786616161617</v>
      </c>
      <c r="H196" s="8">
        <f t="shared" si="368"/>
        <v>55.091666666666676</v>
      </c>
      <c r="I196" s="8">
        <f t="shared" si="368"/>
        <v>79.560514923672827</v>
      </c>
      <c r="J196" s="8">
        <f t="shared" si="368"/>
        <v>76.656192279942289</v>
      </c>
      <c r="K196" s="8">
        <f t="shared" si="368"/>
        <v>120.63499999999999</v>
      </c>
      <c r="L196" s="8">
        <f t="shared" si="368"/>
        <v>91.290343915343925</v>
      </c>
      <c r="M196" s="8">
        <f t="shared" si="368"/>
        <v>96.732797619047616</v>
      </c>
      <c r="N196" s="8">
        <f t="shared" si="368"/>
        <v>81.532326839826823</v>
      </c>
      <c r="O196" s="8">
        <f t="shared" si="368"/>
        <v>139.32325757575759</v>
      </c>
      <c r="P196" s="8">
        <f t="shared" si="368"/>
        <v>70.344457070707065</v>
      </c>
      <c r="Q196" s="8">
        <f t="shared" si="368"/>
        <v>75.666469918969938</v>
      </c>
      <c r="R196" s="8">
        <f t="shared" si="368"/>
        <v>61.063158993784</v>
      </c>
      <c r="S196" s="8">
        <f t="shared" si="368"/>
        <v>50.035186186362658</v>
      </c>
      <c r="T196" s="8">
        <f t="shared" si="368"/>
        <v>37.861660819069556</v>
      </c>
      <c r="U196" s="8">
        <f t="shared" si="368"/>
        <v>24.032708960820518</v>
      </c>
      <c r="V196" s="8">
        <f t="shared" si="368"/>
        <v>22.308920821482737</v>
      </c>
      <c r="W196" s="8">
        <f t="shared" si="368"/>
        <v>26.0879976958695</v>
      </c>
      <c r="X196" s="8">
        <f t="shared" si="368"/>
        <v>30.112697152852782</v>
      </c>
      <c r="Y196" s="8">
        <f t="shared" si="368"/>
        <v>40.631403025430075</v>
      </c>
      <c r="Z196" s="8">
        <f t="shared" si="368"/>
        <v>42.412765523792231</v>
      </c>
      <c r="AA196" s="8">
        <f t="shared" si="368"/>
        <v>53.888386688316302</v>
      </c>
      <c r="AB196" s="8">
        <f t="shared" si="368"/>
        <v>49.482462937795454</v>
      </c>
      <c r="AC196" s="8">
        <f t="shared" si="368"/>
        <v>47.584377890614888</v>
      </c>
      <c r="AD196" s="8">
        <f t="shared" si="368"/>
        <v>38.184298871158163</v>
      </c>
      <c r="AE196" s="8">
        <f t="shared" si="368"/>
        <v>36.20336357912295</v>
      </c>
      <c r="AF196" s="8">
        <f t="shared" si="368"/>
        <v>31.572628384774863</v>
      </c>
      <c r="AG196" s="8">
        <f t="shared" si="368"/>
        <v>27.664093672032369</v>
      </c>
      <c r="AH196" s="8">
        <f t="shared" si="368"/>
        <v>25.640697734500588</v>
      </c>
      <c r="AI196" s="8">
        <f t="shared" si="368"/>
        <v>20.624020489458751</v>
      </c>
      <c r="AJ196" s="8">
        <f t="shared" si="368"/>
        <v>18.428354700904546</v>
      </c>
      <c r="AK196" s="8">
        <f t="shared" si="368"/>
        <v>16.286036370615868</v>
      </c>
      <c r="AL196" s="8">
        <f t="shared" si="368"/>
        <v>14.87589229787768</v>
      </c>
      <c r="AM196" s="8">
        <f t="shared" si="368"/>
        <v>12.003091271915483</v>
      </c>
      <c r="AN196" s="8">
        <f t="shared" si="368"/>
        <v>10.209517028699347</v>
      </c>
      <c r="AO196" s="8">
        <f t="shared" si="368"/>
        <v>9.3195445680365872</v>
      </c>
      <c r="AP196" s="8">
        <f t="shared" si="368"/>
        <v>7.6505524689090976</v>
      </c>
      <c r="AQ196" s="8">
        <f t="shared" si="368"/>
        <v>6.5898235050972875</v>
      </c>
      <c r="AR196" s="8">
        <f t="shared" si="368"/>
        <v>5.6091272258113563</v>
      </c>
      <c r="AS196" s="8">
        <f t="shared" si="368"/>
        <v>4.8812704280345267</v>
      </c>
      <c r="AT196" s="8">
        <f t="shared" si="368"/>
        <v>4.054226684914787</v>
      </c>
      <c r="AU196" s="8">
        <f t="shared" si="368"/>
        <v>3.1965528739908047</v>
      </c>
      <c r="AV196" s="8">
        <f t="shared" si="368"/>
        <v>2.9280748935169729</v>
      </c>
      <c r="AW196" s="8">
        <f t="shared" si="368"/>
        <v>2.2903203257437719</v>
      </c>
      <c r="AX196" s="8">
        <f t="shared" si="368"/>
        <v>1.909932541473778</v>
      </c>
      <c r="AY196" s="8">
        <f t="shared" si="368"/>
        <v>1.4222854043303736</v>
      </c>
      <c r="AZ196" s="8">
        <f t="shared" si="368"/>
        <v>1.2630248125219796</v>
      </c>
      <c r="BA196" s="8">
        <f t="shared" si="368"/>
        <v>0.89822732590317145</v>
      </c>
      <c r="BB196" s="8">
        <f t="shared" si="368"/>
        <v>0.7245966731338942</v>
      </c>
      <c r="BC196" s="8">
        <f t="shared" si="368"/>
        <v>0.60397325606387586</v>
      </c>
      <c r="BD196" s="8">
        <f t="shared" si="368"/>
        <v>0.42187254115431416</v>
      </c>
      <c r="BE196" s="8">
        <f t="shared" si="368"/>
        <v>0.32342664927898251</v>
      </c>
      <c r="BF196" s="8">
        <f t="shared" si="368"/>
        <v>0.22259854693491571</v>
      </c>
      <c r="BG196" s="8">
        <f t="shared" si="368"/>
        <v>0.10135813066719501</v>
      </c>
      <c r="BH196" s="8">
        <f t="shared" si="368"/>
        <v>5.92964543001668E-2</v>
      </c>
      <c r="BI196" s="8">
        <f t="shared" si="368"/>
        <v>7.2135076448011162E-2</v>
      </c>
      <c r="BJ196" s="8">
        <f t="shared" si="368"/>
        <v>6.5683291941929192E-2</v>
      </c>
      <c r="BK196" s="8">
        <f t="shared" si="368"/>
        <v>3.5355485038078623E-2</v>
      </c>
      <c r="BL196" s="8">
        <f t="shared" si="368"/>
        <v>-3.0963399517304362E-2</v>
      </c>
      <c r="BM196" s="8">
        <f t="shared" si="368"/>
        <v>-5.045907591246681E-2</v>
      </c>
      <c r="BN196" s="8">
        <f t="shared" si="368"/>
        <v>-2.0101040900627976E-2</v>
      </c>
      <c r="BO196" s="8">
        <f t="shared" si="368"/>
        <v>-3.1533243560272393E-2</v>
      </c>
      <c r="BP196" s="8">
        <f t="shared" ref="BP196:CY196" si="369">AVERAGE(BP176:BP195)</f>
        <v>-1.2388932711097245E-2</v>
      </c>
      <c r="BQ196" s="8">
        <f t="shared" si="369"/>
        <v>-5.3242509102628108E-2</v>
      </c>
      <c r="BR196" s="8">
        <f t="shared" si="369"/>
        <v>-2.5980794930950162E-2</v>
      </c>
      <c r="BS196" s="8">
        <f t="shared" si="369"/>
        <v>-2.5238460784552789E-3</v>
      </c>
      <c r="BT196" s="8">
        <f t="shared" si="369"/>
        <v>1.1182994757528132E-2</v>
      </c>
      <c r="BU196" s="8">
        <f t="shared" si="369"/>
        <v>1.1106186930938918E-2</v>
      </c>
      <c r="BV196" s="8">
        <f t="shared" si="369"/>
        <v>2.4397420938606494E-2</v>
      </c>
      <c r="BW196" s="8">
        <f t="shared" si="369"/>
        <v>1.8452733730794035E-2</v>
      </c>
      <c r="BX196" s="8">
        <f t="shared" si="369"/>
        <v>1.6849799425730817E-2</v>
      </c>
      <c r="BY196" s="8">
        <f t="shared" si="369"/>
        <v>1.4203091837549068E-2</v>
      </c>
      <c r="BZ196" s="8">
        <f t="shared" si="369"/>
        <v>1.8195141644881195E-2</v>
      </c>
      <c r="CA196" s="8">
        <f t="shared" si="369"/>
        <v>1.1808570070758185E-2</v>
      </c>
      <c r="CB196" s="8">
        <f t="shared" si="369"/>
        <v>1.2421839239768402E-2</v>
      </c>
      <c r="CC196" s="8">
        <f t="shared" si="369"/>
        <v>9.084946896457783E-3</v>
      </c>
      <c r="CD196" s="8">
        <f t="shared" si="369"/>
        <v>8.7082719325676412E-3</v>
      </c>
      <c r="CE196" s="8">
        <f t="shared" si="369"/>
        <v>8.554241057737666E-3</v>
      </c>
      <c r="CF196" s="8">
        <f t="shared" si="369"/>
        <v>5.4252106271158503E-3</v>
      </c>
      <c r="CG196" s="8">
        <f t="shared" si="369"/>
        <v>5.1992118258652751E-3</v>
      </c>
      <c r="CH196" s="8">
        <f t="shared" si="369"/>
        <v>2.8331230882752299E-3</v>
      </c>
      <c r="CI196" s="8">
        <f t="shared" si="369"/>
        <v>3.1096349063030508E-3</v>
      </c>
      <c r="CJ196" s="8">
        <f t="shared" si="369"/>
        <v>3.3136314013907887E-3</v>
      </c>
      <c r="CK196" s="8">
        <f t="shared" si="369"/>
        <v>1.0248867194366975E-3</v>
      </c>
      <c r="CL196" s="8">
        <f t="shared" si="369"/>
        <v>6.5749323630660134E-4</v>
      </c>
      <c r="CM196" s="8">
        <f t="shared" si="369"/>
        <v>1.8173373449729964E-3</v>
      </c>
      <c r="CN196" s="8">
        <f t="shared" si="369"/>
        <v>-1.3634795883972175E-4</v>
      </c>
      <c r="CO196" s="8">
        <f t="shared" si="369"/>
        <v>-1.1857895476181211E-4</v>
      </c>
      <c r="CP196" s="8">
        <f t="shared" si="369"/>
        <v>6.072568396680118E-4</v>
      </c>
      <c r="CQ196" s="8">
        <f t="shared" si="369"/>
        <v>-6.6773883246970544E-4</v>
      </c>
      <c r="CR196" s="8">
        <f t="shared" si="369"/>
        <v>-3.6021668434739587E-4</v>
      </c>
      <c r="CS196" s="8">
        <f t="shared" si="369"/>
        <v>-7.3188305233685589E-4</v>
      </c>
      <c r="CT196" s="8">
        <f t="shared" si="369"/>
        <v>-5.7406486810713977E-4</v>
      </c>
      <c r="CU196" s="8">
        <f t="shared" si="369"/>
        <v>-5.2004389324011488E-4</v>
      </c>
      <c r="CV196" s="8">
        <f t="shared" si="369"/>
        <v>-1.286297506896756E-3</v>
      </c>
      <c r="CW196" s="8">
        <f t="shared" si="369"/>
        <v>-2.535331472433897E-4</v>
      </c>
      <c r="CX196" s="8">
        <f t="shared" si="369"/>
        <v>3.2963930478161553E-4</v>
      </c>
      <c r="CY196" s="8">
        <f t="shared" si="369"/>
        <v>-3.3965745730930425E-3</v>
      </c>
    </row>
    <row r="197" spans="1:103" s="8" customFormat="1" x14ac:dyDescent="0.3">
      <c r="B197" s="8" t="s">
        <v>23</v>
      </c>
      <c r="C197" s="15">
        <f t="shared" ref="C197" si="370">MEDIAN(C176:C195)</f>
        <v>5.9760273972602738</v>
      </c>
      <c r="D197" s="15">
        <f t="shared" ref="D197:BO197" si="371">MEDIAN(D176:D195)</f>
        <v>21.563636363636363</v>
      </c>
      <c r="E197" s="15">
        <f t="shared" si="371"/>
        <v>32.125</v>
      </c>
      <c r="F197" s="15">
        <f t="shared" si="371"/>
        <v>50.572727272727278</v>
      </c>
      <c r="G197" s="15">
        <f t="shared" si="371"/>
        <v>62.1875</v>
      </c>
      <c r="H197" s="15">
        <f t="shared" si="371"/>
        <v>45.476190476190474</v>
      </c>
      <c r="I197" s="15">
        <f t="shared" si="371"/>
        <v>58.5</v>
      </c>
      <c r="J197" s="15">
        <f t="shared" si="371"/>
        <v>70.7</v>
      </c>
      <c r="K197" s="15">
        <f t="shared" si="371"/>
        <v>71.266666666666666</v>
      </c>
      <c r="L197" s="15">
        <f t="shared" si="371"/>
        <v>57.557142857142857</v>
      </c>
      <c r="M197" s="15">
        <f t="shared" si="371"/>
        <v>67</v>
      </c>
      <c r="N197" s="15">
        <f t="shared" si="371"/>
        <v>76.900000000000006</v>
      </c>
      <c r="O197" s="15">
        <f t="shared" si="371"/>
        <v>80.849999999999994</v>
      </c>
      <c r="P197" s="15">
        <f t="shared" si="371"/>
        <v>54.5625</v>
      </c>
      <c r="Q197" s="15">
        <f t="shared" si="371"/>
        <v>51.047619047619051</v>
      </c>
      <c r="R197" s="15">
        <f t="shared" si="371"/>
        <v>43.763888888888886</v>
      </c>
      <c r="S197" s="15">
        <f t="shared" si="371"/>
        <v>39.059659090909093</v>
      </c>
      <c r="T197" s="15">
        <f t="shared" si="371"/>
        <v>27.098039215686278</v>
      </c>
      <c r="U197" s="15">
        <f t="shared" si="371"/>
        <v>22.1</v>
      </c>
      <c r="V197" s="15">
        <f t="shared" si="371"/>
        <v>19.425249169435219</v>
      </c>
      <c r="W197" s="15">
        <f t="shared" si="371"/>
        <v>29.488888888888887</v>
      </c>
      <c r="X197" s="15">
        <f t="shared" si="371"/>
        <v>35.468181818181819</v>
      </c>
      <c r="Y197" s="15">
        <f t="shared" si="371"/>
        <v>37.62655279503106</v>
      </c>
      <c r="Z197" s="15">
        <f t="shared" si="371"/>
        <v>40.06192821956369</v>
      </c>
      <c r="AA197" s="15">
        <f t="shared" si="371"/>
        <v>59.261570827489479</v>
      </c>
      <c r="AB197" s="15">
        <f t="shared" si="371"/>
        <v>51.894305019305023</v>
      </c>
      <c r="AC197" s="15">
        <f t="shared" si="371"/>
        <v>47.968663594470044</v>
      </c>
      <c r="AD197" s="15">
        <f t="shared" si="371"/>
        <v>38.305689102564102</v>
      </c>
      <c r="AE197" s="15">
        <f t="shared" si="371"/>
        <v>34.110187110187113</v>
      </c>
      <c r="AF197" s="15">
        <f t="shared" si="371"/>
        <v>29.911111111111111</v>
      </c>
      <c r="AG197" s="15">
        <f t="shared" si="371"/>
        <v>28.943548387096776</v>
      </c>
      <c r="AH197" s="15">
        <f t="shared" si="371"/>
        <v>24.174912891986061</v>
      </c>
      <c r="AI197" s="15">
        <f t="shared" si="371"/>
        <v>17.867346938775512</v>
      </c>
      <c r="AJ197" s="15">
        <f t="shared" si="371"/>
        <v>18.203913043478259</v>
      </c>
      <c r="AK197" s="15">
        <f t="shared" si="371"/>
        <v>17.086152219873149</v>
      </c>
      <c r="AL197" s="15">
        <f t="shared" si="371"/>
        <v>14.896666666666668</v>
      </c>
      <c r="AM197" s="15">
        <f t="shared" si="371"/>
        <v>12.402325581395349</v>
      </c>
      <c r="AN197" s="15">
        <f t="shared" si="371"/>
        <v>9.8289865871833086</v>
      </c>
      <c r="AO197" s="15">
        <f t="shared" si="371"/>
        <v>10.137012987012987</v>
      </c>
      <c r="AP197" s="15">
        <f t="shared" si="371"/>
        <v>8.890279516061744</v>
      </c>
      <c r="AQ197" s="15">
        <f t="shared" si="371"/>
        <v>6.1612173038229372</v>
      </c>
      <c r="AR197" s="15">
        <f t="shared" si="371"/>
        <v>5.2304216867469879</v>
      </c>
      <c r="AS197" s="15">
        <f t="shared" si="371"/>
        <v>4.6912706437478935</v>
      </c>
      <c r="AT197" s="15">
        <f t="shared" si="371"/>
        <v>3.9330842391304346</v>
      </c>
      <c r="AU197" s="15">
        <f t="shared" si="371"/>
        <v>3.3128071253071254</v>
      </c>
      <c r="AV197" s="15">
        <f t="shared" si="371"/>
        <v>2.59080615942029</v>
      </c>
      <c r="AW197" s="15">
        <f t="shared" si="371"/>
        <v>2.1640304274329871</v>
      </c>
      <c r="AX197" s="15">
        <f t="shared" si="371"/>
        <v>2.0769905533063429</v>
      </c>
      <c r="AY197" s="15">
        <f t="shared" si="371"/>
        <v>1.4007936507936507</v>
      </c>
      <c r="AZ197" s="15">
        <f t="shared" si="371"/>
        <v>1.1624723573639981</v>
      </c>
      <c r="BA197" s="15">
        <f t="shared" si="371"/>
        <v>0.83116883116883122</v>
      </c>
      <c r="BB197" s="15">
        <f t="shared" si="371"/>
        <v>0.67999999999999994</v>
      </c>
      <c r="BC197" s="15">
        <f t="shared" si="371"/>
        <v>0.59158439877002755</v>
      </c>
      <c r="BD197" s="15">
        <f t="shared" si="371"/>
        <v>0.44285714285714284</v>
      </c>
      <c r="BE197" s="15">
        <f t="shared" si="371"/>
        <v>0.30762108262108262</v>
      </c>
      <c r="BF197" s="15">
        <f t="shared" si="371"/>
        <v>0.1715288415373008</v>
      </c>
      <c r="BG197" s="15">
        <f t="shared" si="371"/>
        <v>5.1228609039052214E-2</v>
      </c>
      <c r="BH197" s="15">
        <f t="shared" si="371"/>
        <v>6.0733932415348345E-3</v>
      </c>
      <c r="BI197" s="15">
        <f t="shared" si="371"/>
        <v>8.6519607843137253E-2</v>
      </c>
      <c r="BJ197" s="15">
        <f t="shared" si="371"/>
        <v>8.6632845291998543E-3</v>
      </c>
      <c r="BK197" s="15">
        <f t="shared" si="371"/>
        <v>-3.5015581717451519E-2</v>
      </c>
      <c r="BL197" s="15">
        <f t="shared" si="371"/>
        <v>-7.567491263143436E-2</v>
      </c>
      <c r="BM197" s="15">
        <f t="shared" si="371"/>
        <v>-8.8175465838509326E-2</v>
      </c>
      <c r="BN197" s="15">
        <f t="shared" si="371"/>
        <v>-5.2284605638264176E-2</v>
      </c>
      <c r="BO197" s="15">
        <f t="shared" si="371"/>
        <v>-4.4710977685144461E-2</v>
      </c>
      <c r="BP197" s="15">
        <f t="shared" ref="BP197:CY197" si="372">MEDIAN(BP176:BP195)</f>
        <v>-1.6838095623004486E-2</v>
      </c>
      <c r="BQ197" s="15">
        <f t="shared" si="372"/>
        <v>-5.758401118922301E-2</v>
      </c>
      <c r="BR197" s="15">
        <f t="shared" si="372"/>
        <v>-4.541255522777074E-2</v>
      </c>
      <c r="BS197" s="15">
        <f t="shared" si="372"/>
        <v>-9.4240260884893359E-3</v>
      </c>
      <c r="BT197" s="15">
        <f t="shared" si="372"/>
        <v>1.8751485266159697E-3</v>
      </c>
      <c r="BU197" s="15">
        <f t="shared" si="372"/>
        <v>0</v>
      </c>
      <c r="BV197" s="15">
        <f t="shared" si="372"/>
        <v>2.0171308639174088E-2</v>
      </c>
      <c r="BW197" s="15">
        <f t="shared" si="372"/>
        <v>8.4185481421484264E-3</v>
      </c>
      <c r="BX197" s="15">
        <f t="shared" si="372"/>
        <v>1.0211681794132905E-2</v>
      </c>
      <c r="BY197" s="15">
        <f t="shared" si="372"/>
        <v>9.2846083559741388E-3</v>
      </c>
      <c r="BZ197" s="15">
        <f t="shared" si="372"/>
        <v>1.7126587166212431E-2</v>
      </c>
      <c r="CA197" s="15">
        <f t="shared" si="372"/>
        <v>1.2668211026261873E-2</v>
      </c>
      <c r="CB197" s="15">
        <f t="shared" si="372"/>
        <v>9.9413569723832244E-3</v>
      </c>
      <c r="CC197" s="15">
        <f t="shared" si="372"/>
        <v>9.9214932089718936E-3</v>
      </c>
      <c r="CD197" s="15">
        <f t="shared" si="372"/>
        <v>6.1353046594982072E-3</v>
      </c>
      <c r="CE197" s="15">
        <f t="shared" si="372"/>
        <v>6.1384278108362039E-3</v>
      </c>
      <c r="CF197" s="15">
        <f t="shared" si="372"/>
        <v>5.0109771048955035E-3</v>
      </c>
      <c r="CG197" s="15">
        <f t="shared" si="372"/>
        <v>4.0656405931548244E-3</v>
      </c>
      <c r="CH197" s="15">
        <f t="shared" si="372"/>
        <v>1.9906822650644193E-3</v>
      </c>
      <c r="CI197" s="15">
        <f t="shared" si="372"/>
        <v>1.5405368802212528E-3</v>
      </c>
      <c r="CJ197" s="15">
        <f t="shared" si="372"/>
        <v>1.8238473386123976E-3</v>
      </c>
      <c r="CK197" s="15">
        <f t="shared" si="372"/>
        <v>1.7653961619478859E-3</v>
      </c>
      <c r="CL197" s="15">
        <f t="shared" si="372"/>
        <v>1.0021806206120725E-3</v>
      </c>
      <c r="CM197" s="15">
        <f t="shared" si="372"/>
        <v>1.6121109165168875E-3</v>
      </c>
      <c r="CN197" s="15">
        <f t="shared" si="372"/>
        <v>-3.0959752321981426E-4</v>
      </c>
      <c r="CO197" s="15">
        <f t="shared" si="372"/>
        <v>-3.0506406345332519E-4</v>
      </c>
      <c r="CP197" s="15">
        <f t="shared" si="372"/>
        <v>6.897904398211602E-4</v>
      </c>
      <c r="CQ197" s="15">
        <f t="shared" si="372"/>
        <v>-9.041953192577267E-4</v>
      </c>
      <c r="CR197" s="15">
        <f t="shared" si="372"/>
        <v>0</v>
      </c>
      <c r="CS197" s="15">
        <f t="shared" si="372"/>
        <v>-1.2508409343367178E-3</v>
      </c>
      <c r="CT197" s="15">
        <f t="shared" si="372"/>
        <v>0</v>
      </c>
      <c r="CU197" s="15">
        <f t="shared" si="372"/>
        <v>0</v>
      </c>
      <c r="CV197" s="15">
        <f t="shared" si="372"/>
        <v>-1.3968687509145002E-3</v>
      </c>
      <c r="CW197" s="15">
        <f t="shared" si="372"/>
        <v>0</v>
      </c>
      <c r="CX197" s="15">
        <f t="shared" si="372"/>
        <v>0</v>
      </c>
      <c r="CY197" s="15">
        <f t="shared" si="372"/>
        <v>0</v>
      </c>
    </row>
    <row r="199" spans="1:103" x14ac:dyDescent="0.3">
      <c r="A199" t="s">
        <v>29</v>
      </c>
    </row>
    <row r="200" spans="1:103" x14ac:dyDescent="0.3">
      <c r="A200" s="10">
        <v>2003</v>
      </c>
      <c r="B200" s="8"/>
      <c r="C200">
        <f>C152/C54</f>
        <v>-7.116104868913857E-2</v>
      </c>
      <c r="D200" s="8">
        <f t="shared" ref="D200:BO200" si="373">D152/D54</f>
        <v>2.903225806451613E-2</v>
      </c>
      <c r="E200" s="8">
        <f t="shared" si="373"/>
        <v>2.0833333333333332E-2</v>
      </c>
      <c r="F200" s="8">
        <f t="shared" si="373"/>
        <v>0.14285714285714285</v>
      </c>
      <c r="G200" s="8">
        <f t="shared" si="373"/>
        <v>8.8435374149659865E-2</v>
      </c>
      <c r="H200" s="8">
        <f t="shared" si="373"/>
        <v>0.15032679738562091</v>
      </c>
      <c r="I200" s="8">
        <f t="shared" si="373"/>
        <v>2.3696682464454975E-2</v>
      </c>
      <c r="J200" s="8">
        <f t="shared" si="373"/>
        <v>7.6923076923076927E-2</v>
      </c>
      <c r="K200" s="8">
        <f t="shared" si="373"/>
        <v>6.1904761904761907E-2</v>
      </c>
      <c r="L200" s="8">
        <f t="shared" si="373"/>
        <v>0</v>
      </c>
      <c r="M200" s="8">
        <f t="shared" si="373"/>
        <v>8.2840236686390539E-2</v>
      </c>
      <c r="N200" s="8">
        <f t="shared" si="373"/>
        <v>3.4188034188034191E-2</v>
      </c>
      <c r="O200" s="8">
        <f t="shared" si="373"/>
        <v>0.15183246073298429</v>
      </c>
      <c r="P200" s="8">
        <f t="shared" si="373"/>
        <v>1.9138755980861243E-2</v>
      </c>
      <c r="Q200" s="8">
        <f t="shared" si="373"/>
        <v>0.12396694214876033</v>
      </c>
      <c r="R200" s="8">
        <f t="shared" si="373"/>
        <v>7.6595744680851063E-2</v>
      </c>
      <c r="S200" s="8">
        <f t="shared" si="373"/>
        <v>3.8327526132404179E-2</v>
      </c>
      <c r="T200" s="8">
        <f t="shared" si="373"/>
        <v>2.1212121212121213E-2</v>
      </c>
      <c r="U200" s="8">
        <f t="shared" si="373"/>
        <v>3.6649214659685861E-2</v>
      </c>
      <c r="V200" s="8">
        <f t="shared" si="373"/>
        <v>2.4875621890547265E-2</v>
      </c>
      <c r="W200" s="8">
        <f t="shared" si="373"/>
        <v>0</v>
      </c>
      <c r="X200" s="8">
        <f t="shared" si="373"/>
        <v>-3.5135135135135137E-2</v>
      </c>
      <c r="Y200" s="8">
        <f t="shared" si="373"/>
        <v>1.7985611510791366E-2</v>
      </c>
      <c r="Z200" s="8">
        <f t="shared" si="373"/>
        <v>-1.1990407673860911E-2</v>
      </c>
      <c r="AA200" s="8">
        <f t="shared" si="373"/>
        <v>0.10669975186104218</v>
      </c>
      <c r="AB200" s="8">
        <f t="shared" si="373"/>
        <v>0.12266112266112267</v>
      </c>
      <c r="AC200" s="8">
        <f t="shared" si="373"/>
        <v>8.8967971530249115E-2</v>
      </c>
      <c r="AD200" s="8">
        <f t="shared" si="373"/>
        <v>0.14898989898989898</v>
      </c>
      <c r="AE200" s="8">
        <f t="shared" si="373"/>
        <v>7.1428571428571425E-2</v>
      </c>
      <c r="AF200" s="8">
        <f t="shared" si="373"/>
        <v>0.10662824207492795</v>
      </c>
      <c r="AG200" s="8">
        <f t="shared" si="373"/>
        <v>0.18238993710691823</v>
      </c>
      <c r="AH200" s="8">
        <f t="shared" si="373"/>
        <v>0.26277372262773724</v>
      </c>
      <c r="AI200" s="8">
        <f t="shared" si="373"/>
        <v>0.3256880733944954</v>
      </c>
      <c r="AJ200" s="8">
        <f t="shared" si="373"/>
        <v>0.39743589743589741</v>
      </c>
      <c r="AK200" s="8">
        <f t="shared" si="373"/>
        <v>0.34234234234234234</v>
      </c>
      <c r="AL200" s="8">
        <f t="shared" si="373"/>
        <v>0.37113402061855671</v>
      </c>
      <c r="AM200" s="8">
        <f t="shared" si="373"/>
        <v>0.45664739884393063</v>
      </c>
      <c r="AN200" s="8">
        <f t="shared" si="373"/>
        <v>0.34574468085106386</v>
      </c>
      <c r="AO200" s="8">
        <f t="shared" si="373"/>
        <v>0.32642487046632124</v>
      </c>
      <c r="AP200" s="8">
        <f t="shared" si="373"/>
        <v>0.71014492753623193</v>
      </c>
      <c r="AQ200" s="8">
        <f t="shared" si="373"/>
        <v>0.98958333333333337</v>
      </c>
      <c r="AR200" s="8">
        <f t="shared" si="373"/>
        <v>0.72727272727272729</v>
      </c>
      <c r="AS200" s="8">
        <f t="shared" si="373"/>
        <v>1.1904761904761905</v>
      </c>
      <c r="AT200" s="8">
        <f t="shared" si="373"/>
        <v>1.3625</v>
      </c>
      <c r="AU200" s="8">
        <f t="shared" si="373"/>
        <v>1.1237113402061856</v>
      </c>
      <c r="AV200" s="8">
        <f t="shared" si="373"/>
        <v>-124</v>
      </c>
      <c r="AW200" s="8">
        <f t="shared" si="373"/>
        <v>2.76</v>
      </c>
      <c r="AX200" s="8">
        <f t="shared" si="373"/>
        <v>2.4909090909090907</v>
      </c>
      <c r="AY200" s="8">
        <f t="shared" si="373"/>
        <v>3.975609756097561</v>
      </c>
      <c r="AZ200" s="8">
        <f t="shared" si="373"/>
        <v>3.306122448979592</v>
      </c>
      <c r="BA200" s="8">
        <f t="shared" si="373"/>
        <v>10.75</v>
      </c>
      <c r="BB200" s="8">
        <f t="shared" si="373"/>
        <v>-58.666666666666664</v>
      </c>
      <c r="BC200" s="8">
        <f t="shared" si="373"/>
        <v>-8.0370370370370363</v>
      </c>
      <c r="BD200" s="8">
        <f t="shared" si="373"/>
        <v>-18.333333333333332</v>
      </c>
      <c r="BE200" s="8">
        <f t="shared" si="373"/>
        <v>-8.612903225806452</v>
      </c>
      <c r="BF200" s="8">
        <f t="shared" si="373"/>
        <v>-103.66666666666667</v>
      </c>
      <c r="BG200" s="8">
        <f t="shared" si="373"/>
        <v>-16.136363636363637</v>
      </c>
      <c r="BH200" s="8">
        <f t="shared" si="373"/>
        <v>-6.9777777777777779</v>
      </c>
      <c r="BI200" s="8">
        <f t="shared" si="373"/>
        <v>-9.0540540540540544</v>
      </c>
      <c r="BJ200" s="8">
        <f t="shared" si="373"/>
        <v>-7.5217391304347823</v>
      </c>
      <c r="BK200" s="8">
        <f t="shared" si="373"/>
        <v>-9.46875</v>
      </c>
      <c r="BL200" s="8">
        <f t="shared" si="373"/>
        <v>-7.8571428571428568</v>
      </c>
      <c r="BM200" s="8">
        <f t="shared" si="373"/>
        <v>-4.0919540229885056</v>
      </c>
      <c r="BN200" s="8">
        <f t="shared" si="373"/>
        <v>-10.684210526315789</v>
      </c>
      <c r="BO200" s="8">
        <f t="shared" si="373"/>
        <v>-8.4888888888888889</v>
      </c>
      <c r="BP200" s="8">
        <f t="shared" ref="BP200:CY200" si="374">BP152/BP54</f>
        <v>-8.5</v>
      </c>
      <c r="BQ200" s="8">
        <f t="shared" si="374"/>
        <v>-9.3269230769230766</v>
      </c>
      <c r="BR200" s="8">
        <f t="shared" si="374"/>
        <v>-6.0394736842105265</v>
      </c>
      <c r="BS200" s="8">
        <f t="shared" si="374"/>
        <v>-13.820512820512821</v>
      </c>
      <c r="BT200" s="8">
        <f t="shared" si="374"/>
        <v>-22.12</v>
      </c>
      <c r="BU200" s="8">
        <f t="shared" si="374"/>
        <v>-24.846153846153847</v>
      </c>
      <c r="BV200" s="8">
        <f t="shared" si="374"/>
        <v>-33.333333333333336</v>
      </c>
      <c r="BW200" s="8">
        <f t="shared" si="374"/>
        <v>-37.136363636363633</v>
      </c>
      <c r="BX200" s="8">
        <f t="shared" si="374"/>
        <v>-125.57142857142857</v>
      </c>
      <c r="BY200" s="8">
        <f t="shared" si="374"/>
        <v>-88.6</v>
      </c>
      <c r="BZ200" s="8">
        <f t="shared" si="374"/>
        <v>518.5</v>
      </c>
      <c r="CA200" s="8">
        <f t="shared" si="374"/>
        <v>-71.0625</v>
      </c>
      <c r="CB200" s="8">
        <f t="shared" si="374"/>
        <v>-177</v>
      </c>
      <c r="CC200" s="8">
        <f t="shared" si="374"/>
        <v>149.55555555555554</v>
      </c>
      <c r="CD200" s="8">
        <f t="shared" si="374"/>
        <v>-489</v>
      </c>
      <c r="CE200" s="8">
        <f t="shared" si="374"/>
        <v>1589</v>
      </c>
      <c r="CF200" s="8">
        <f t="shared" si="374"/>
        <v>-338.6</v>
      </c>
      <c r="CG200" s="8">
        <f t="shared" si="374"/>
        <v>-640.33333333333337</v>
      </c>
      <c r="CH200" s="8"/>
      <c r="CI200" s="8">
        <f t="shared" si="374"/>
        <v>1675</v>
      </c>
      <c r="CJ200" s="8">
        <f t="shared" si="374"/>
        <v>-889.5</v>
      </c>
      <c r="CK200" s="8">
        <f t="shared" si="374"/>
        <v>1695</v>
      </c>
      <c r="CL200" s="8">
        <f t="shared" si="374"/>
        <v>-817</v>
      </c>
      <c r="CM200" s="8">
        <f t="shared" si="374"/>
        <v>-745</v>
      </c>
      <c r="CN200" s="8">
        <f t="shared" si="374"/>
        <v>1462</v>
      </c>
      <c r="CO200" s="8">
        <f t="shared" si="374"/>
        <v>633.5</v>
      </c>
      <c r="CP200" s="8"/>
      <c r="CQ200" s="8">
        <f t="shared" si="374"/>
        <v>-454</v>
      </c>
      <c r="CR200" s="8">
        <f t="shared" si="374"/>
        <v>-797</v>
      </c>
      <c r="CS200" s="8"/>
      <c r="CT200" s="8">
        <f t="shared" si="374"/>
        <v>456</v>
      </c>
      <c r="CU200" s="8"/>
      <c r="CV200" s="8" t="e">
        <f t="shared" si="374"/>
        <v>#DIV/0!</v>
      </c>
      <c r="CW200" s="8" t="e">
        <f t="shared" si="374"/>
        <v>#DIV/0!</v>
      </c>
      <c r="CX200" s="8">
        <f t="shared" si="374"/>
        <v>110</v>
      </c>
      <c r="CY200" s="8">
        <f t="shared" si="374"/>
        <v>88</v>
      </c>
    </row>
    <row r="201" spans="1:103" x14ac:dyDescent="0.3">
      <c r="A201" s="10">
        <v>2004</v>
      </c>
      <c r="B201" s="8"/>
      <c r="C201" s="8">
        <f t="shared" ref="C201:BN201" si="375">C153/C55</f>
        <v>-6.5972222222222224E-2</v>
      </c>
      <c r="D201" s="8">
        <f t="shared" si="375"/>
        <v>1.5113350125944584E-2</v>
      </c>
      <c r="E201" s="8">
        <f t="shared" si="375"/>
        <v>1.8970189701897018E-2</v>
      </c>
      <c r="F201" s="8">
        <f t="shared" si="375"/>
        <v>2.3809523809523808E-2</v>
      </c>
      <c r="G201" s="8">
        <f t="shared" si="375"/>
        <v>0.10062893081761007</v>
      </c>
      <c r="H201" s="8">
        <f t="shared" si="375"/>
        <v>6.6666666666666666E-2</v>
      </c>
      <c r="I201" s="8">
        <f t="shared" si="375"/>
        <v>-2.1276595744680851E-2</v>
      </c>
      <c r="J201" s="8">
        <f t="shared" si="375"/>
        <v>6.1111111111111109E-2</v>
      </c>
      <c r="K201" s="8">
        <f t="shared" si="375"/>
        <v>8.3769633507853408E-2</v>
      </c>
      <c r="L201" s="8">
        <f t="shared" si="375"/>
        <v>9.3896713615023476E-3</v>
      </c>
      <c r="M201" s="8">
        <f t="shared" si="375"/>
        <v>2.8089887640449437E-2</v>
      </c>
      <c r="N201" s="8">
        <f t="shared" si="375"/>
        <v>0.1076923076923077</v>
      </c>
      <c r="O201" s="8">
        <f t="shared" si="375"/>
        <v>-5.681818181818182E-3</v>
      </c>
      <c r="P201" s="8">
        <f t="shared" si="375"/>
        <v>5.8823529411764705E-2</v>
      </c>
      <c r="Q201" s="8">
        <f t="shared" si="375"/>
        <v>9.7826086956521743E-2</v>
      </c>
      <c r="R201" s="8">
        <f t="shared" si="375"/>
        <v>7.6086956521739135E-2</v>
      </c>
      <c r="S201" s="8">
        <f t="shared" si="375"/>
        <v>-1.5873015873015872E-2</v>
      </c>
      <c r="T201" s="8">
        <f t="shared" si="375"/>
        <v>5.1671732522796353E-2</v>
      </c>
      <c r="U201" s="8">
        <f t="shared" si="375"/>
        <v>0</v>
      </c>
      <c r="V201" s="8">
        <f t="shared" si="375"/>
        <v>5.1359516616314202E-2</v>
      </c>
      <c r="W201" s="8">
        <f t="shared" si="375"/>
        <v>6.6265060240963861E-2</v>
      </c>
      <c r="X201" s="8">
        <f t="shared" si="375"/>
        <v>0.13692946058091288</v>
      </c>
      <c r="Y201" s="8">
        <f t="shared" si="375"/>
        <v>-2.8089887640449437E-3</v>
      </c>
      <c r="Z201" s="8">
        <f t="shared" si="375"/>
        <v>-3.8383838383838381E-2</v>
      </c>
      <c r="AA201" s="8">
        <f t="shared" si="375"/>
        <v>0.10980392156862745</v>
      </c>
      <c r="AB201" s="8">
        <f t="shared" si="375"/>
        <v>-1.2006861063464836E-2</v>
      </c>
      <c r="AC201" s="8">
        <f t="shared" si="375"/>
        <v>8.8447653429602882E-2</v>
      </c>
      <c r="AD201" s="8">
        <f t="shared" si="375"/>
        <v>8.4427767354596617E-2</v>
      </c>
      <c r="AE201" s="8">
        <f t="shared" si="375"/>
        <v>0.13333333333333333</v>
      </c>
      <c r="AF201" s="8">
        <f t="shared" si="375"/>
        <v>7.3217726396917149E-2</v>
      </c>
      <c r="AG201" s="8">
        <f t="shared" si="375"/>
        <v>7.3217726396917149E-2</v>
      </c>
      <c r="AH201" s="8">
        <f t="shared" si="375"/>
        <v>0.23853211009174313</v>
      </c>
      <c r="AI201" s="8">
        <f t="shared" si="375"/>
        <v>0.13243243243243244</v>
      </c>
      <c r="AJ201" s="8">
        <f t="shared" si="375"/>
        <v>0.27725856697819312</v>
      </c>
      <c r="AK201" s="8">
        <f t="shared" si="375"/>
        <v>0.20064724919093851</v>
      </c>
      <c r="AL201" s="8">
        <f t="shared" si="375"/>
        <v>0.34042553191489361</v>
      </c>
      <c r="AM201" s="8">
        <f t="shared" si="375"/>
        <v>0.2574626865671642</v>
      </c>
      <c r="AN201" s="8">
        <f t="shared" si="375"/>
        <v>0.42944785276073622</v>
      </c>
      <c r="AO201" s="8">
        <f t="shared" si="375"/>
        <v>0.62222222222222223</v>
      </c>
      <c r="AP201" s="8">
        <f t="shared" si="375"/>
        <v>0.48344370860927155</v>
      </c>
      <c r="AQ201" s="8">
        <f t="shared" si="375"/>
        <v>0.51764705882352946</v>
      </c>
      <c r="AR201" s="8">
        <f t="shared" si="375"/>
        <v>0.74766355140186913</v>
      </c>
      <c r="AS201" s="8">
        <f t="shared" si="375"/>
        <v>0.93939393939393945</v>
      </c>
      <c r="AT201" s="8">
        <f t="shared" si="375"/>
        <v>0.74809160305343514</v>
      </c>
      <c r="AU201" s="8">
        <f t="shared" si="375"/>
        <v>1.1698113207547169</v>
      </c>
      <c r="AV201" s="8">
        <f t="shared" si="375"/>
        <v>1.3103448275862069</v>
      </c>
      <c r="AW201" s="8">
        <f t="shared" si="375"/>
        <v>1.4606741573033708</v>
      </c>
      <c r="AX201" s="8">
        <f t="shared" si="375"/>
        <v>1.5</v>
      </c>
      <c r="AY201" s="8">
        <f t="shared" si="375"/>
        <v>2</v>
      </c>
      <c r="AZ201" s="8">
        <f t="shared" si="375"/>
        <v>3.0545454545454547</v>
      </c>
      <c r="BA201" s="8">
        <f t="shared" si="375"/>
        <v>3.290909090909091</v>
      </c>
      <c r="BB201" s="8">
        <f t="shared" si="375"/>
        <v>7.791666666666667</v>
      </c>
      <c r="BC201" s="8">
        <f t="shared" si="375"/>
        <v>-14.692307692307692</v>
      </c>
      <c r="BD201" s="8">
        <f t="shared" si="375"/>
        <v>38.666666666666664</v>
      </c>
      <c r="BE201" s="8">
        <f t="shared" si="375"/>
        <v>261</v>
      </c>
      <c r="BF201" s="8">
        <f t="shared" si="375"/>
        <v>33.75</v>
      </c>
      <c r="BG201" s="8">
        <f t="shared" si="375"/>
        <v>-26.583333333333332</v>
      </c>
      <c r="BH201" s="8">
        <f t="shared" si="375"/>
        <v>-9.8684210526315788</v>
      </c>
      <c r="BI201" s="8">
        <f t="shared" si="375"/>
        <v>-6.957446808510638</v>
      </c>
      <c r="BJ201" s="8">
        <f t="shared" si="375"/>
        <v>-5.75</v>
      </c>
      <c r="BK201" s="8">
        <f t="shared" si="375"/>
        <v>-14.695652173913043</v>
      </c>
      <c r="BL201" s="8">
        <f t="shared" si="375"/>
        <v>-8.6315789473684212</v>
      </c>
      <c r="BM201" s="8">
        <f t="shared" si="375"/>
        <v>-8.8333333333333339</v>
      </c>
      <c r="BN201" s="8">
        <f t="shared" si="375"/>
        <v>-14.958333333333334</v>
      </c>
      <c r="BO201" s="8">
        <f t="shared" ref="BO201:CY201" si="376">BO153/BO55</f>
        <v>-68.833333333333329</v>
      </c>
      <c r="BP201" s="8">
        <f t="shared" si="376"/>
        <v>-44.9</v>
      </c>
      <c r="BQ201" s="8">
        <f t="shared" si="376"/>
        <v>-16.74074074074074</v>
      </c>
      <c r="BR201" s="8">
        <f t="shared" si="376"/>
        <v>-11.526315789473685</v>
      </c>
      <c r="BS201" s="8">
        <f t="shared" si="376"/>
        <v>-26</v>
      </c>
      <c r="BT201" s="8">
        <f t="shared" si="376"/>
        <v>-22.478260869565219</v>
      </c>
      <c r="BU201" s="8">
        <f t="shared" si="376"/>
        <v>-33.944444444444443</v>
      </c>
      <c r="BV201" s="8">
        <f t="shared" si="376"/>
        <v>-85</v>
      </c>
      <c r="BW201" s="8">
        <f t="shared" si="376"/>
        <v>-80</v>
      </c>
      <c r="BX201" s="8">
        <f t="shared" si="376"/>
        <v>-266</v>
      </c>
      <c r="BY201" s="8">
        <f t="shared" si="376"/>
        <v>-143.16666666666666</v>
      </c>
      <c r="BZ201" s="8">
        <f t="shared" si="376"/>
        <v>-136.28571428571428</v>
      </c>
      <c r="CA201" s="8">
        <f t="shared" si="376"/>
        <v>527</v>
      </c>
      <c r="CB201" s="8">
        <f t="shared" si="376"/>
        <v>143.125</v>
      </c>
      <c r="CC201" s="8">
        <f t="shared" si="376"/>
        <v>-100.83333333333333</v>
      </c>
      <c r="CD201" s="8">
        <f t="shared" si="376"/>
        <v>-234.66666666666666</v>
      </c>
      <c r="CE201" s="8">
        <f t="shared" si="376"/>
        <v>-238.57142857142858</v>
      </c>
      <c r="CF201" s="8">
        <f t="shared" si="376"/>
        <v>161.69999999999999</v>
      </c>
      <c r="CG201" s="8">
        <f t="shared" si="376"/>
        <v>-243.14285714285714</v>
      </c>
      <c r="CH201" s="8">
        <f t="shared" si="376"/>
        <v>270.42857142857144</v>
      </c>
      <c r="CI201" s="8">
        <f t="shared" si="376"/>
        <v>402.75</v>
      </c>
      <c r="CJ201" s="8">
        <f t="shared" si="376"/>
        <v>-531.66666666666663</v>
      </c>
      <c r="CK201" s="8">
        <f t="shared" si="376"/>
        <v>561.66666666666663</v>
      </c>
      <c r="CL201" s="8">
        <f t="shared" si="376"/>
        <v>-522</v>
      </c>
      <c r="CM201" s="8">
        <f t="shared" si="376"/>
        <v>732</v>
      </c>
      <c r="CN201" s="8">
        <f t="shared" si="376"/>
        <v>700</v>
      </c>
      <c r="CO201" s="8">
        <f t="shared" si="376"/>
        <v>-627.5</v>
      </c>
      <c r="CP201" s="8">
        <f t="shared" si="376"/>
        <v>-1077</v>
      </c>
      <c r="CQ201" s="8"/>
      <c r="CR201" s="8">
        <f t="shared" si="376"/>
        <v>-779</v>
      </c>
      <c r="CS201" s="8">
        <f t="shared" si="376"/>
        <v>-582</v>
      </c>
      <c r="CT201" s="8">
        <f t="shared" si="376"/>
        <v>469</v>
      </c>
      <c r="CU201" s="8">
        <f t="shared" si="376"/>
        <v>-377</v>
      </c>
      <c r="CV201" s="8" t="e">
        <f t="shared" si="376"/>
        <v>#DIV/0!</v>
      </c>
      <c r="CW201" s="8">
        <f t="shared" si="376"/>
        <v>157</v>
      </c>
      <c r="CX201" s="8" t="e">
        <f t="shared" si="376"/>
        <v>#DIV/0!</v>
      </c>
      <c r="CY201" s="8" t="e">
        <f t="shared" si="376"/>
        <v>#DIV/0!</v>
      </c>
    </row>
    <row r="202" spans="1:103" x14ac:dyDescent="0.3">
      <c r="A202" s="10">
        <v>2005</v>
      </c>
      <c r="B202" s="8"/>
      <c r="C202" s="8">
        <f t="shared" ref="C202:BN202" si="377">C154/C56</f>
        <v>0.11948051948051948</v>
      </c>
      <c r="D202" s="8">
        <f t="shared" si="377"/>
        <v>2.7972027972027972E-3</v>
      </c>
      <c r="E202" s="8">
        <f t="shared" si="377"/>
        <v>1.9780219780219779E-2</v>
      </c>
      <c r="F202" s="8">
        <f t="shared" si="377"/>
        <v>-2.6881720430107527E-2</v>
      </c>
      <c r="G202" s="8">
        <f t="shared" si="377"/>
        <v>0.13302752293577982</v>
      </c>
      <c r="H202" s="8">
        <f t="shared" si="377"/>
        <v>4.9261083743842367E-2</v>
      </c>
      <c r="I202" s="8">
        <f t="shared" si="377"/>
        <v>0</v>
      </c>
      <c r="J202" s="8">
        <f t="shared" si="377"/>
        <v>2.9962546816479401E-2</v>
      </c>
      <c r="K202" s="8">
        <f t="shared" si="377"/>
        <v>6.2271062271062272E-2</v>
      </c>
      <c r="L202" s="8">
        <f t="shared" si="377"/>
        <v>1.7921146953405017E-2</v>
      </c>
      <c r="M202" s="8">
        <f t="shared" si="377"/>
        <v>5.7142857142857141E-2</v>
      </c>
      <c r="N202" s="8">
        <f t="shared" si="377"/>
        <v>1.1538461538461539E-2</v>
      </c>
      <c r="O202" s="8">
        <f t="shared" si="377"/>
        <v>2.1739130434782608E-2</v>
      </c>
      <c r="P202" s="8">
        <f t="shared" si="377"/>
        <v>8.9285714285714281E-3</v>
      </c>
      <c r="Q202" s="8">
        <f t="shared" si="377"/>
        <v>5.5118110236220472E-2</v>
      </c>
      <c r="R202" s="8">
        <f t="shared" si="377"/>
        <v>3.4883720930232558E-2</v>
      </c>
      <c r="S202" s="8">
        <f t="shared" si="377"/>
        <v>7.6923076923076927E-2</v>
      </c>
      <c r="T202" s="8">
        <f t="shared" si="377"/>
        <v>4.4827586206896551E-2</v>
      </c>
      <c r="U202" s="8">
        <f t="shared" si="377"/>
        <v>3.214285714285714E-2</v>
      </c>
      <c r="V202" s="8">
        <f t="shared" si="377"/>
        <v>0.10397553516819572</v>
      </c>
      <c r="W202" s="8">
        <f t="shared" si="377"/>
        <v>7.2386058981233251E-2</v>
      </c>
      <c r="X202" s="8">
        <f t="shared" si="377"/>
        <v>7.64525993883792E-2</v>
      </c>
      <c r="Y202" s="8">
        <f t="shared" si="377"/>
        <v>2.0618556701030928E-3</v>
      </c>
      <c r="Z202" s="8">
        <f t="shared" si="377"/>
        <v>5.0314465408805034E-2</v>
      </c>
      <c r="AA202" s="8">
        <f t="shared" si="377"/>
        <v>2.4137931034482758E-2</v>
      </c>
      <c r="AB202" s="8">
        <f t="shared" si="377"/>
        <v>7.7562326869806089E-2</v>
      </c>
      <c r="AC202" s="8">
        <f t="shared" si="377"/>
        <v>3.7406483790523692E-2</v>
      </c>
      <c r="AD202" s="8">
        <f t="shared" si="377"/>
        <v>4.4235924932975873E-2</v>
      </c>
      <c r="AE202" s="8">
        <f t="shared" si="377"/>
        <v>5.8904109589041097E-2</v>
      </c>
      <c r="AF202" s="8">
        <f t="shared" si="377"/>
        <v>9.2896174863387984E-2</v>
      </c>
      <c r="AG202" s="8">
        <f t="shared" si="377"/>
        <v>5.6463595839524518E-2</v>
      </c>
      <c r="AH202" s="8">
        <f t="shared" si="377"/>
        <v>0.11623616236162361</v>
      </c>
      <c r="AI202" s="8">
        <f t="shared" si="377"/>
        <v>0.10261194029850747</v>
      </c>
      <c r="AJ202" s="8">
        <f t="shared" si="377"/>
        <v>0.10858143607705779</v>
      </c>
      <c r="AK202" s="8">
        <f t="shared" si="377"/>
        <v>0.11405295315682282</v>
      </c>
      <c r="AL202" s="8">
        <f t="shared" si="377"/>
        <v>0.13559322033898305</v>
      </c>
      <c r="AM202" s="8">
        <f t="shared" si="377"/>
        <v>0.21229050279329609</v>
      </c>
      <c r="AN202" s="8">
        <f t="shared" si="377"/>
        <v>0.17602040816326531</v>
      </c>
      <c r="AO202" s="8">
        <f t="shared" si="377"/>
        <v>0.22560975609756098</v>
      </c>
      <c r="AP202" s="8">
        <f t="shared" si="377"/>
        <v>0.3269961977186312</v>
      </c>
      <c r="AQ202" s="8">
        <f t="shared" si="377"/>
        <v>0.38461538461538464</v>
      </c>
      <c r="AR202" s="8">
        <f t="shared" si="377"/>
        <v>0.38914027149321267</v>
      </c>
      <c r="AS202" s="8">
        <f t="shared" si="377"/>
        <v>0.24399999999999999</v>
      </c>
      <c r="AT202" s="8">
        <f t="shared" si="377"/>
        <v>0.53080568720379151</v>
      </c>
      <c r="AU202" s="8">
        <f t="shared" si="377"/>
        <v>0.59428571428571431</v>
      </c>
      <c r="AV202" s="8">
        <f t="shared" si="377"/>
        <v>0.57435897435897432</v>
      </c>
      <c r="AW202" s="8">
        <f t="shared" si="377"/>
        <v>0.87313432835820892</v>
      </c>
      <c r="AX202" s="8">
        <f t="shared" si="377"/>
        <v>0.79617834394904463</v>
      </c>
      <c r="AY202" s="8">
        <f t="shared" si="377"/>
        <v>1.9397590361445782</v>
      </c>
      <c r="AZ202" s="8">
        <f t="shared" si="377"/>
        <v>2.7</v>
      </c>
      <c r="BA202" s="8">
        <f t="shared" si="377"/>
        <v>2.5333333333333332</v>
      </c>
      <c r="BB202" s="8">
        <f t="shared" si="377"/>
        <v>3.6538461538461537</v>
      </c>
      <c r="BC202" s="8">
        <f t="shared" si="377"/>
        <v>4.5227272727272725</v>
      </c>
      <c r="BD202" s="8">
        <f t="shared" si="377"/>
        <v>5.9743589743589745</v>
      </c>
      <c r="BE202" s="8">
        <f t="shared" si="377"/>
        <v>11.428571428571429</v>
      </c>
      <c r="BF202" s="8">
        <f t="shared" si="377"/>
        <v>19.692307692307693</v>
      </c>
      <c r="BG202" s="8">
        <f t="shared" si="377"/>
        <v>-31.666666666666668</v>
      </c>
      <c r="BH202" s="8">
        <f t="shared" si="377"/>
        <v>-39.375</v>
      </c>
      <c r="BI202" s="8">
        <f t="shared" si="377"/>
        <v>-14.333333333333334</v>
      </c>
      <c r="BJ202" s="8">
        <f t="shared" si="377"/>
        <v>-21.888888888888889</v>
      </c>
      <c r="BK202" s="8">
        <f t="shared" si="377"/>
        <v>75.2</v>
      </c>
      <c r="BL202" s="8">
        <f t="shared" si="377"/>
        <v>-13.166666666666666</v>
      </c>
      <c r="BM202" s="8">
        <f t="shared" si="377"/>
        <v>-7.145833333333333</v>
      </c>
      <c r="BN202" s="8">
        <f t="shared" si="377"/>
        <v>-10.941176470588236</v>
      </c>
      <c r="BO202" s="8">
        <f t="shared" ref="BO202:CY202" si="378">BO154/BO56</f>
        <v>-22.25</v>
      </c>
      <c r="BP202" s="8">
        <f t="shared" si="378"/>
        <v>-28.428571428571427</v>
      </c>
      <c r="BQ202" s="8">
        <f t="shared" si="378"/>
        <v>-84.4</v>
      </c>
      <c r="BR202" s="8">
        <f t="shared" si="378"/>
        <v>-33.642857142857146</v>
      </c>
      <c r="BS202" s="8">
        <f t="shared" si="378"/>
        <v>-25.15</v>
      </c>
      <c r="BT202" s="8">
        <f t="shared" si="378"/>
        <v>-106.2</v>
      </c>
      <c r="BU202" s="8">
        <f t="shared" si="378"/>
        <v>-145.25</v>
      </c>
      <c r="BV202" s="8">
        <f t="shared" si="378"/>
        <v>-37.733333333333334</v>
      </c>
      <c r="BW202" s="8"/>
      <c r="BX202" s="8">
        <f t="shared" si="378"/>
        <v>72.818181818181813</v>
      </c>
      <c r="BY202" s="8">
        <f t="shared" si="378"/>
        <v>444</v>
      </c>
      <c r="BZ202" s="8">
        <f t="shared" si="378"/>
        <v>158.16666666666666</v>
      </c>
      <c r="CA202" s="8">
        <f t="shared" si="378"/>
        <v>338.33333333333331</v>
      </c>
      <c r="CB202" s="8">
        <f t="shared" si="378"/>
        <v>364.33333333333331</v>
      </c>
      <c r="CC202" s="8">
        <f t="shared" si="378"/>
        <v>129.6</v>
      </c>
      <c r="CD202" s="8">
        <f t="shared" si="378"/>
        <v>132.9</v>
      </c>
      <c r="CE202" s="8">
        <f t="shared" si="378"/>
        <v>243.83333333333334</v>
      </c>
      <c r="CF202" s="8">
        <f t="shared" si="378"/>
        <v>226</v>
      </c>
      <c r="CG202" s="8">
        <f t="shared" si="378"/>
        <v>-411.25</v>
      </c>
      <c r="CH202" s="8">
        <f t="shared" si="378"/>
        <v>330</v>
      </c>
      <c r="CI202" s="8">
        <f t="shared" si="378"/>
        <v>637.33333333333337</v>
      </c>
      <c r="CJ202" s="8">
        <f t="shared" si="378"/>
        <v>337.8</v>
      </c>
      <c r="CK202" s="8">
        <f t="shared" si="378"/>
        <v>546.66666666666663</v>
      </c>
      <c r="CL202" s="8"/>
      <c r="CM202" s="8">
        <f t="shared" si="378"/>
        <v>748.5</v>
      </c>
      <c r="CN202" s="8">
        <f t="shared" si="378"/>
        <v>279</v>
      </c>
      <c r="CO202" s="8">
        <f t="shared" si="378"/>
        <v>430.66666666666669</v>
      </c>
      <c r="CP202" s="8">
        <f t="shared" si="378"/>
        <v>-1118</v>
      </c>
      <c r="CQ202" s="8">
        <f t="shared" si="378"/>
        <v>320.66666666666669</v>
      </c>
      <c r="CR202" s="8">
        <f t="shared" si="378"/>
        <v>-402</v>
      </c>
      <c r="CS202" s="8"/>
      <c r="CT202" s="8">
        <f t="shared" si="378"/>
        <v>-533</v>
      </c>
      <c r="CU202" s="8">
        <f t="shared" si="378"/>
        <v>-333</v>
      </c>
      <c r="CV202" s="8">
        <f t="shared" si="378"/>
        <v>-292</v>
      </c>
      <c r="CW202" s="8" t="e">
        <f t="shared" si="378"/>
        <v>#DIV/0!</v>
      </c>
      <c r="CX202" s="8" t="e">
        <f t="shared" si="378"/>
        <v>#DIV/0!</v>
      </c>
      <c r="CY202" s="8" t="e">
        <f t="shared" si="378"/>
        <v>#DIV/0!</v>
      </c>
    </row>
    <row r="203" spans="1:103" x14ac:dyDescent="0.3">
      <c r="A203" s="10">
        <v>2006</v>
      </c>
      <c r="B203" s="8"/>
      <c r="C203" s="8">
        <f t="shared" ref="C203:BN203" si="379">C155/C57</f>
        <v>5.2777777777777778E-2</v>
      </c>
      <c r="D203" s="8">
        <f t="shared" si="379"/>
        <v>-1.3333333333333333E-3</v>
      </c>
      <c r="E203" s="8">
        <f t="shared" si="379"/>
        <v>1.8556701030927835E-2</v>
      </c>
      <c r="F203" s="8">
        <f t="shared" si="379"/>
        <v>0.10843373493975904</v>
      </c>
      <c r="G203" s="8">
        <f t="shared" si="379"/>
        <v>8.4388185654008432E-3</v>
      </c>
      <c r="H203" s="8">
        <f t="shared" si="379"/>
        <v>1.8518518518518517E-2</v>
      </c>
      <c r="I203" s="8">
        <f t="shared" si="379"/>
        <v>5.0847457627118647E-2</v>
      </c>
      <c r="J203" s="8">
        <f t="shared" si="379"/>
        <v>3.2000000000000001E-2</v>
      </c>
      <c r="K203" s="8">
        <f t="shared" si="379"/>
        <v>2.456140350877193E-2</v>
      </c>
      <c r="L203" s="8">
        <f t="shared" si="379"/>
        <v>7.0422535211267609E-2</v>
      </c>
      <c r="M203" s="8">
        <f t="shared" si="379"/>
        <v>4.0590405904059039E-2</v>
      </c>
      <c r="N203" s="8">
        <f t="shared" si="379"/>
        <v>-4.4843049327354259E-3</v>
      </c>
      <c r="O203" s="8">
        <f t="shared" si="379"/>
        <v>8.130081300813009E-3</v>
      </c>
      <c r="P203" s="8">
        <f t="shared" si="379"/>
        <v>0.04</v>
      </c>
      <c r="Q203" s="8">
        <f t="shared" si="379"/>
        <v>4.6153846153846156E-2</v>
      </c>
      <c r="R203" s="8">
        <f t="shared" si="379"/>
        <v>0.11261261261261261</v>
      </c>
      <c r="S203" s="8">
        <f t="shared" si="379"/>
        <v>5.2083333333333336E-2</v>
      </c>
      <c r="T203" s="8">
        <f t="shared" si="379"/>
        <v>1.2012012012012012E-2</v>
      </c>
      <c r="U203" s="8">
        <f t="shared" si="379"/>
        <v>7.0921985815602842E-2</v>
      </c>
      <c r="V203" s="8">
        <f t="shared" si="379"/>
        <v>8.3544303797468356E-2</v>
      </c>
      <c r="W203" s="8">
        <f t="shared" si="379"/>
        <v>2.3498694516971279E-2</v>
      </c>
      <c r="X203" s="8">
        <f t="shared" si="379"/>
        <v>-5.434782608695652E-2</v>
      </c>
      <c r="Y203" s="8">
        <f t="shared" si="379"/>
        <v>7.0921985815602842E-2</v>
      </c>
      <c r="Z203" s="8">
        <f t="shared" si="379"/>
        <v>1.0563380281690141E-2</v>
      </c>
      <c r="AA203" s="8">
        <f t="shared" si="379"/>
        <v>3.6076662908680945E-2</v>
      </c>
      <c r="AB203" s="8">
        <f t="shared" si="379"/>
        <v>4.5989304812834225E-2</v>
      </c>
      <c r="AC203" s="8">
        <f t="shared" si="379"/>
        <v>4.6861184792219276E-2</v>
      </c>
      <c r="AD203" s="8">
        <f t="shared" si="379"/>
        <v>2.9903254177660508E-2</v>
      </c>
      <c r="AE203" s="8">
        <f t="shared" si="379"/>
        <v>6.6541705716963453E-2</v>
      </c>
      <c r="AF203" s="8">
        <f t="shared" si="379"/>
        <v>2.1999999999999999E-2</v>
      </c>
      <c r="AG203" s="8">
        <f t="shared" si="379"/>
        <v>4.1666666666666664E-2</v>
      </c>
      <c r="AH203" s="8">
        <f t="shared" si="379"/>
        <v>9.1152815013404831E-2</v>
      </c>
      <c r="AI203" s="8">
        <f t="shared" si="379"/>
        <v>8.233731739707835E-2</v>
      </c>
      <c r="AJ203" s="8">
        <f t="shared" si="379"/>
        <v>8.4297520661157019E-2</v>
      </c>
      <c r="AK203" s="8">
        <f t="shared" si="379"/>
        <v>0.10344827586206896</v>
      </c>
      <c r="AL203" s="8">
        <f t="shared" si="379"/>
        <v>9.5798319327731099E-2</v>
      </c>
      <c r="AM203" s="8">
        <f t="shared" si="379"/>
        <v>0.12704174228675136</v>
      </c>
      <c r="AN203" s="8">
        <f t="shared" si="379"/>
        <v>0.12665406427221171</v>
      </c>
      <c r="AO203" s="8">
        <f t="shared" si="379"/>
        <v>0.17391304347826086</v>
      </c>
      <c r="AP203" s="8">
        <f t="shared" si="379"/>
        <v>0.16864608076009502</v>
      </c>
      <c r="AQ203" s="8">
        <f t="shared" si="379"/>
        <v>0.18443804034582131</v>
      </c>
      <c r="AR203" s="8">
        <f t="shared" si="379"/>
        <v>0.23615160349854228</v>
      </c>
      <c r="AS203" s="8">
        <f t="shared" si="379"/>
        <v>0.23636363636363636</v>
      </c>
      <c r="AT203" s="8">
        <f t="shared" si="379"/>
        <v>0.33948339483394835</v>
      </c>
      <c r="AU203" s="8">
        <f t="shared" si="379"/>
        <v>0.36101083032490977</v>
      </c>
      <c r="AV203" s="8">
        <f t="shared" si="379"/>
        <v>0.53526970954356845</v>
      </c>
      <c r="AW203" s="8">
        <f t="shared" si="379"/>
        <v>0.45381526104417669</v>
      </c>
      <c r="AX203" s="8">
        <f t="shared" si="379"/>
        <v>0.80124223602484468</v>
      </c>
      <c r="AY203" s="8">
        <f t="shared" si="379"/>
        <v>0.7589285714285714</v>
      </c>
      <c r="AZ203" s="8">
        <f t="shared" si="379"/>
        <v>0.90058479532163738</v>
      </c>
      <c r="BA203" s="8">
        <f t="shared" si="379"/>
        <v>0.98265895953757221</v>
      </c>
      <c r="BB203" s="8">
        <f t="shared" si="379"/>
        <v>1.6050420168067228</v>
      </c>
      <c r="BC203" s="8">
        <f t="shared" si="379"/>
        <v>1.9259259259259258</v>
      </c>
      <c r="BD203" s="8">
        <f t="shared" si="379"/>
        <v>2.7</v>
      </c>
      <c r="BE203" s="8">
        <f t="shared" si="379"/>
        <v>3.3529411764705883</v>
      </c>
      <c r="BF203" s="8">
        <f t="shared" si="379"/>
        <v>4.2459016393442619</v>
      </c>
      <c r="BG203" s="8">
        <f t="shared" si="379"/>
        <v>8.5294117647058822</v>
      </c>
      <c r="BH203" s="8">
        <f t="shared" si="379"/>
        <v>13.590909090909092</v>
      </c>
      <c r="BI203" s="8">
        <f t="shared" si="379"/>
        <v>-57.333333333333336</v>
      </c>
      <c r="BJ203" s="8">
        <f t="shared" si="379"/>
        <v>-31.307692307692307</v>
      </c>
      <c r="BK203" s="8">
        <f t="shared" si="379"/>
        <v>-134.33333333333334</v>
      </c>
      <c r="BL203" s="8">
        <f t="shared" si="379"/>
        <v>-14.833333333333334</v>
      </c>
      <c r="BM203" s="8">
        <f t="shared" si="379"/>
        <v>-18.041666666666668</v>
      </c>
      <c r="BN203" s="8">
        <f t="shared" si="379"/>
        <v>-12.235294117647058</v>
      </c>
      <c r="BO203" s="8">
        <f t="shared" ref="BO203:CY203" si="380">BO155/BO57</f>
        <v>44.25</v>
      </c>
      <c r="BP203" s="8">
        <f t="shared" si="380"/>
        <v>-14.142857142857142</v>
      </c>
      <c r="BQ203" s="8">
        <f t="shared" si="380"/>
        <v>-23.736842105263158</v>
      </c>
      <c r="BR203" s="8">
        <f t="shared" si="380"/>
        <v>-27</v>
      </c>
      <c r="BS203" s="8">
        <f t="shared" si="380"/>
        <v>-27.842105263157894</v>
      </c>
      <c r="BT203" s="8">
        <f t="shared" si="380"/>
        <v>-153.66666666666666</v>
      </c>
      <c r="BU203" s="8">
        <f t="shared" si="380"/>
        <v>-496</v>
      </c>
      <c r="BV203" s="8">
        <f t="shared" si="380"/>
        <v>-609</v>
      </c>
      <c r="BW203" s="8">
        <f t="shared" si="380"/>
        <v>-170.75</v>
      </c>
      <c r="BX203" s="8">
        <f t="shared" si="380"/>
        <v>181</v>
      </c>
      <c r="BY203" s="8">
        <f t="shared" si="380"/>
        <v>-167.8</v>
      </c>
      <c r="BZ203" s="8">
        <f t="shared" si="380"/>
        <v>304.33333333333331</v>
      </c>
      <c r="CA203" s="8">
        <f t="shared" si="380"/>
        <v>158.5</v>
      </c>
      <c r="CB203" s="8">
        <f t="shared" si="380"/>
        <v>149.14285714285714</v>
      </c>
      <c r="CC203" s="8">
        <f t="shared" si="380"/>
        <v>1168</v>
      </c>
      <c r="CD203" s="8"/>
      <c r="CE203" s="8">
        <f t="shared" si="380"/>
        <v>1377</v>
      </c>
      <c r="CF203" s="8">
        <f t="shared" si="380"/>
        <v>1542</v>
      </c>
      <c r="CG203" s="8">
        <f t="shared" si="380"/>
        <v>859</v>
      </c>
      <c r="CH203" s="8">
        <f t="shared" si="380"/>
        <v>173.6</v>
      </c>
      <c r="CI203" s="8">
        <f t="shared" si="380"/>
        <v>265.42857142857144</v>
      </c>
      <c r="CJ203" s="8"/>
      <c r="CK203" s="8">
        <f t="shared" si="380"/>
        <v>1579</v>
      </c>
      <c r="CL203" s="8">
        <f t="shared" si="380"/>
        <v>1633</v>
      </c>
      <c r="CM203" s="8">
        <f t="shared" si="380"/>
        <v>268.66666666666669</v>
      </c>
      <c r="CN203" s="8">
        <f t="shared" si="380"/>
        <v>736</v>
      </c>
      <c r="CO203" s="8">
        <f t="shared" si="380"/>
        <v>1268</v>
      </c>
      <c r="CP203" s="8">
        <f t="shared" si="380"/>
        <v>390.33333333333331</v>
      </c>
      <c r="CQ203" s="8">
        <f t="shared" si="380"/>
        <v>251.25</v>
      </c>
      <c r="CR203" s="8">
        <f t="shared" si="380"/>
        <v>-834</v>
      </c>
      <c r="CS203" s="8"/>
      <c r="CT203" s="8"/>
      <c r="CU203" s="8">
        <f t="shared" si="380"/>
        <v>-432</v>
      </c>
      <c r="CV203" s="8">
        <f t="shared" si="380"/>
        <v>294</v>
      </c>
      <c r="CW203" s="8" t="e">
        <f t="shared" si="380"/>
        <v>#DIV/0!</v>
      </c>
      <c r="CX203" s="8">
        <f t="shared" si="380"/>
        <v>132</v>
      </c>
      <c r="CY203" s="8" t="e">
        <f t="shared" si="380"/>
        <v>#DIV/0!</v>
      </c>
    </row>
    <row r="204" spans="1:103" x14ac:dyDescent="0.3">
      <c r="A204" s="10">
        <v>2007</v>
      </c>
      <c r="B204" s="8"/>
      <c r="C204" s="8">
        <f t="shared" ref="C204:BN204" si="381">C156/C58</f>
        <v>8.8319088319088315E-2</v>
      </c>
      <c r="D204" s="8">
        <f t="shared" si="381"/>
        <v>1.3079667063020214E-2</v>
      </c>
      <c r="E204" s="8">
        <f t="shared" si="381"/>
        <v>8.5959885386819486E-3</v>
      </c>
      <c r="F204" s="8">
        <f t="shared" si="381"/>
        <v>4.1394335511982572E-2</v>
      </c>
      <c r="G204" s="8">
        <f t="shared" si="381"/>
        <v>2.1505376344086023E-2</v>
      </c>
      <c r="H204" s="8">
        <f t="shared" si="381"/>
        <v>5.434782608695652E-3</v>
      </c>
      <c r="I204" s="8">
        <f t="shared" si="381"/>
        <v>1.7492711370262391E-2</v>
      </c>
      <c r="J204" s="8">
        <f t="shared" si="381"/>
        <v>1.871657754010695E-2</v>
      </c>
      <c r="K204" s="8">
        <f t="shared" si="381"/>
        <v>2.7190332326283987E-2</v>
      </c>
      <c r="L204" s="8">
        <f t="shared" si="381"/>
        <v>2.2222222222222223E-2</v>
      </c>
      <c r="M204" s="8">
        <f t="shared" si="381"/>
        <v>2.5380710659898475E-3</v>
      </c>
      <c r="N204" s="8">
        <f t="shared" si="381"/>
        <v>4.5584045584045586E-2</v>
      </c>
      <c r="O204" s="8">
        <f t="shared" si="381"/>
        <v>3.125E-2</v>
      </c>
      <c r="P204" s="8">
        <f t="shared" si="381"/>
        <v>-1.2345679012345678E-2</v>
      </c>
      <c r="Q204" s="8">
        <f t="shared" si="381"/>
        <v>2.5157232704402517E-2</v>
      </c>
      <c r="R204" s="8">
        <f t="shared" si="381"/>
        <v>5.2459016393442623E-2</v>
      </c>
      <c r="S204" s="8">
        <f t="shared" si="381"/>
        <v>4.0816326530612242E-2</v>
      </c>
      <c r="T204" s="8">
        <f t="shared" si="381"/>
        <v>3.9627039627039624E-2</v>
      </c>
      <c r="U204" s="8">
        <f t="shared" si="381"/>
        <v>8.2568807339449546E-2</v>
      </c>
      <c r="V204" s="8">
        <f t="shared" si="381"/>
        <v>3.1894934333958722E-2</v>
      </c>
      <c r="W204" s="8">
        <f t="shared" si="381"/>
        <v>1.7054263565891473E-2</v>
      </c>
      <c r="X204" s="8">
        <f t="shared" si="381"/>
        <v>3.4210526315789476E-2</v>
      </c>
      <c r="Y204" s="8">
        <f t="shared" si="381"/>
        <v>2.8409090909090908E-2</v>
      </c>
      <c r="Z204" s="8">
        <f t="shared" si="381"/>
        <v>1.7200938232994525E-2</v>
      </c>
      <c r="AA204" s="8">
        <f t="shared" si="381"/>
        <v>2.1963824289405683E-2</v>
      </c>
      <c r="AB204" s="8">
        <f t="shared" si="381"/>
        <v>1.7953321364452424E-2</v>
      </c>
      <c r="AC204" s="8">
        <f t="shared" si="381"/>
        <v>2.0155038759689922E-2</v>
      </c>
      <c r="AD204" s="8">
        <f t="shared" si="381"/>
        <v>2.5920165889061691E-2</v>
      </c>
      <c r="AE204" s="8">
        <f t="shared" si="381"/>
        <v>2.2050716648291068E-2</v>
      </c>
      <c r="AF204" s="8">
        <f t="shared" si="381"/>
        <v>3.4504391468005019E-2</v>
      </c>
      <c r="AG204" s="8">
        <f t="shared" si="381"/>
        <v>1.602136181575434E-2</v>
      </c>
      <c r="AH204" s="8">
        <f t="shared" si="381"/>
        <v>4.2274052478134108E-2</v>
      </c>
      <c r="AI204" s="8">
        <f t="shared" si="381"/>
        <v>4.2088854247856584E-2</v>
      </c>
      <c r="AJ204" s="8">
        <f t="shared" si="381"/>
        <v>1.7933390264730998E-2</v>
      </c>
      <c r="AK204" s="8">
        <f t="shared" si="381"/>
        <v>5.0485436893203881E-2</v>
      </c>
      <c r="AL204" s="8">
        <f t="shared" si="381"/>
        <v>7.4925074925074928E-2</v>
      </c>
      <c r="AM204" s="8">
        <f t="shared" si="381"/>
        <v>6.5284974093264253E-2</v>
      </c>
      <c r="AN204" s="8">
        <f t="shared" si="381"/>
        <v>6.741573033707865E-2</v>
      </c>
      <c r="AO204" s="8">
        <f t="shared" si="381"/>
        <v>7.4270557029177717E-2</v>
      </c>
      <c r="AP204" s="8">
        <f t="shared" si="381"/>
        <v>0.08</v>
      </c>
      <c r="AQ204" s="8">
        <f t="shared" si="381"/>
        <v>8.8534107402031936E-2</v>
      </c>
      <c r="AR204" s="8">
        <f t="shared" si="381"/>
        <v>0.13245033112582782</v>
      </c>
      <c r="AS204" s="8">
        <f t="shared" si="381"/>
        <v>0.11221122112211221</v>
      </c>
      <c r="AT204" s="8">
        <f t="shared" si="381"/>
        <v>0.2165991902834008</v>
      </c>
      <c r="AU204" s="8">
        <f t="shared" si="381"/>
        <v>0.19753086419753085</v>
      </c>
      <c r="AV204" s="8">
        <f t="shared" si="381"/>
        <v>0.22315789473684211</v>
      </c>
      <c r="AW204" s="8">
        <f t="shared" si="381"/>
        <v>0.26932084309133492</v>
      </c>
      <c r="AX204" s="8">
        <f t="shared" si="381"/>
        <v>0.3014705882352941</v>
      </c>
      <c r="AY204" s="8">
        <f t="shared" si="381"/>
        <v>0.45125348189415043</v>
      </c>
      <c r="AZ204" s="8">
        <f t="shared" si="381"/>
        <v>0.4966216216216216</v>
      </c>
      <c r="BA204" s="8">
        <f t="shared" si="381"/>
        <v>0.5540983606557377</v>
      </c>
      <c r="BB204" s="8">
        <f t="shared" si="381"/>
        <v>0.69175627240143367</v>
      </c>
      <c r="BC204" s="8">
        <f t="shared" si="381"/>
        <v>1.0238095238095237</v>
      </c>
      <c r="BD204" s="8">
        <f t="shared" si="381"/>
        <v>1.1912568306010929</v>
      </c>
      <c r="BE204" s="8">
        <f t="shared" si="381"/>
        <v>1.4965517241379311</v>
      </c>
      <c r="BF204" s="8">
        <f t="shared" si="381"/>
        <v>2.1818181818181817</v>
      </c>
      <c r="BG204" s="8">
        <f t="shared" si="381"/>
        <v>3.3703703703703702</v>
      </c>
      <c r="BH204" s="8">
        <f t="shared" si="381"/>
        <v>4.3484848484848486</v>
      </c>
      <c r="BI204" s="8">
        <f t="shared" si="381"/>
        <v>6.2307692307692308</v>
      </c>
      <c r="BJ204" s="8">
        <f t="shared" si="381"/>
        <v>11.638888888888889</v>
      </c>
      <c r="BK204" s="8">
        <f t="shared" si="381"/>
        <v>19</v>
      </c>
      <c r="BL204" s="8">
        <f t="shared" si="381"/>
        <v>17.956521739130434</v>
      </c>
      <c r="BM204" s="8">
        <f t="shared" si="381"/>
        <v>64.857142857142861</v>
      </c>
      <c r="BN204" s="8">
        <f t="shared" si="381"/>
        <v>-19.636363636363637</v>
      </c>
      <c r="BO204" s="8">
        <f t="shared" ref="BO204:CY204" si="382">BO156/BO58</f>
        <v>-19.36</v>
      </c>
      <c r="BP204" s="8">
        <f t="shared" si="382"/>
        <v>-27</v>
      </c>
      <c r="BQ204" s="8">
        <f t="shared" si="382"/>
        <v>81.666666666666671</v>
      </c>
      <c r="BR204" s="8">
        <f t="shared" si="382"/>
        <v>-23.181818181818183</v>
      </c>
      <c r="BS204" s="8">
        <f t="shared" si="382"/>
        <v>-28.333333333333332</v>
      </c>
      <c r="BT204" s="8">
        <f t="shared" si="382"/>
        <v>88.833333333333329</v>
      </c>
      <c r="BU204" s="8">
        <f t="shared" si="382"/>
        <v>-177.33333333333334</v>
      </c>
      <c r="BV204" s="8">
        <f t="shared" si="382"/>
        <v>46.53846153846154</v>
      </c>
      <c r="BW204" s="8">
        <f t="shared" si="382"/>
        <v>616</v>
      </c>
      <c r="BX204" s="8">
        <f t="shared" si="382"/>
        <v>78.666666666666671</v>
      </c>
      <c r="BY204" s="8">
        <f t="shared" si="382"/>
        <v>-287.66666666666669</v>
      </c>
      <c r="BZ204" s="8">
        <f t="shared" si="382"/>
        <v>297</v>
      </c>
      <c r="CA204" s="8">
        <f t="shared" si="382"/>
        <v>256.5</v>
      </c>
      <c r="CB204" s="8">
        <f t="shared" si="382"/>
        <v>179.5</v>
      </c>
      <c r="CC204" s="8">
        <f t="shared" si="382"/>
        <v>-568</v>
      </c>
      <c r="CD204" s="8"/>
      <c r="CE204" s="8">
        <f t="shared" si="382"/>
        <v>692.5</v>
      </c>
      <c r="CF204" s="8">
        <f t="shared" si="382"/>
        <v>187.25</v>
      </c>
      <c r="CG204" s="8">
        <f t="shared" si="382"/>
        <v>-1683</v>
      </c>
      <c r="CH204" s="8">
        <f t="shared" si="382"/>
        <v>247.57142857142858</v>
      </c>
      <c r="CI204" s="8">
        <f t="shared" si="382"/>
        <v>452.75</v>
      </c>
      <c r="CJ204" s="8">
        <f t="shared" si="382"/>
        <v>233.5</v>
      </c>
      <c r="CK204" s="8"/>
      <c r="CL204" s="8">
        <f t="shared" si="382"/>
        <v>315.2</v>
      </c>
      <c r="CM204" s="8">
        <f t="shared" si="382"/>
        <v>820.5</v>
      </c>
      <c r="CN204" s="8">
        <f t="shared" si="382"/>
        <v>310</v>
      </c>
      <c r="CO204" s="8">
        <f t="shared" si="382"/>
        <v>448</v>
      </c>
      <c r="CP204" s="8"/>
      <c r="CQ204" s="8">
        <f t="shared" si="382"/>
        <v>-514.5</v>
      </c>
      <c r="CR204" s="8"/>
      <c r="CS204" s="8">
        <f t="shared" si="382"/>
        <v>749</v>
      </c>
      <c r="CT204" s="8">
        <f t="shared" si="382"/>
        <v>-556</v>
      </c>
      <c r="CU204" s="8">
        <f t="shared" si="382"/>
        <v>426</v>
      </c>
      <c r="CV204" s="8">
        <f t="shared" si="382"/>
        <v>307</v>
      </c>
      <c r="CW204" s="8">
        <f t="shared" si="382"/>
        <v>-209</v>
      </c>
      <c r="CX204" s="8" t="e">
        <f t="shared" si="382"/>
        <v>#DIV/0!</v>
      </c>
      <c r="CY204" s="8" t="e">
        <f t="shared" si="382"/>
        <v>#DIV/0!</v>
      </c>
    </row>
    <row r="205" spans="1:103" x14ac:dyDescent="0.3">
      <c r="A205" s="10">
        <v>2008</v>
      </c>
      <c r="B205" s="8"/>
      <c r="C205" s="8">
        <f t="shared" ref="C205:BN205" si="383">C157/C59</f>
        <v>0.12377850162866449</v>
      </c>
      <c r="D205" s="8">
        <f t="shared" si="383"/>
        <v>3.8505096262740658E-2</v>
      </c>
      <c r="E205" s="8">
        <f t="shared" si="383"/>
        <v>8.0753701211305519E-3</v>
      </c>
      <c r="F205" s="8">
        <f t="shared" si="383"/>
        <v>1.3888888888888888E-2</v>
      </c>
      <c r="G205" s="8">
        <f t="shared" si="383"/>
        <v>1.6326530612244899E-2</v>
      </c>
      <c r="H205" s="8">
        <f t="shared" si="383"/>
        <v>2.9017857142857144E-2</v>
      </c>
      <c r="I205" s="8">
        <f t="shared" si="383"/>
        <v>2.2883295194508008E-2</v>
      </c>
      <c r="J205" s="8">
        <f t="shared" si="383"/>
        <v>4.4543429844097994E-3</v>
      </c>
      <c r="K205" s="8">
        <f t="shared" si="383"/>
        <v>2.9197080291970802E-2</v>
      </c>
      <c r="L205" s="8">
        <f t="shared" si="383"/>
        <v>3.3653846153846152E-2</v>
      </c>
      <c r="M205" s="8">
        <f t="shared" si="383"/>
        <v>-6.7873303167420816E-3</v>
      </c>
      <c r="N205" s="8">
        <f t="shared" si="383"/>
        <v>2.2075055187637969E-3</v>
      </c>
      <c r="O205" s="8">
        <f t="shared" si="383"/>
        <v>3.3333333333333333E-2</v>
      </c>
      <c r="P205" s="8">
        <f t="shared" si="383"/>
        <v>2.6829268292682926E-2</v>
      </c>
      <c r="Q205" s="8">
        <f t="shared" si="383"/>
        <v>2.4813895781637719E-2</v>
      </c>
      <c r="R205" s="8">
        <f t="shared" si="383"/>
        <v>2.4193548387096774E-2</v>
      </c>
      <c r="S205" s="8">
        <f t="shared" si="383"/>
        <v>4.6116504854368932E-2</v>
      </c>
      <c r="T205" s="8">
        <f t="shared" si="383"/>
        <v>6.8292682926829273E-2</v>
      </c>
      <c r="U205" s="8">
        <f t="shared" si="383"/>
        <v>5.8823529411764705E-2</v>
      </c>
      <c r="V205" s="8">
        <f t="shared" si="383"/>
        <v>1.3910355486862442E-2</v>
      </c>
      <c r="W205" s="8">
        <f t="shared" si="383"/>
        <v>1.9786910197869101E-2</v>
      </c>
      <c r="X205" s="8">
        <f t="shared" si="383"/>
        <v>-6.8104426787741201E-3</v>
      </c>
      <c r="Y205" s="8">
        <f t="shared" si="383"/>
        <v>1.970865467009426E-2</v>
      </c>
      <c r="Z205" s="8">
        <f t="shared" si="383"/>
        <v>1.3167013167013167E-2</v>
      </c>
      <c r="AA205" s="8">
        <f t="shared" si="383"/>
        <v>7.85024154589372E-3</v>
      </c>
      <c r="AB205" s="8">
        <f t="shared" si="383"/>
        <v>2.5534132360604481E-2</v>
      </c>
      <c r="AC205" s="8">
        <f t="shared" si="383"/>
        <v>2.3121387283236993E-2</v>
      </c>
      <c r="AD205" s="8">
        <f t="shared" si="383"/>
        <v>3.3249370277078083E-2</v>
      </c>
      <c r="AE205" s="8">
        <f t="shared" si="383"/>
        <v>6.7437379576107898E-3</v>
      </c>
      <c r="AF205" s="8">
        <f t="shared" si="383"/>
        <v>2.2258414766558089E-2</v>
      </c>
      <c r="AG205" s="8">
        <f t="shared" si="383"/>
        <v>2.1543985637342909E-2</v>
      </c>
      <c r="AH205" s="8">
        <f t="shared" si="383"/>
        <v>4.0511727078891259E-2</v>
      </c>
      <c r="AI205" s="8">
        <f t="shared" si="383"/>
        <v>2.7896995708154508E-2</v>
      </c>
      <c r="AJ205" s="8">
        <f t="shared" si="383"/>
        <v>5.1107325383304938E-2</v>
      </c>
      <c r="AK205" s="8">
        <f t="shared" si="383"/>
        <v>2.756244616709733E-2</v>
      </c>
      <c r="AL205" s="8">
        <f t="shared" si="383"/>
        <v>5.844155844155844E-2</v>
      </c>
      <c r="AM205" s="8">
        <f t="shared" si="383"/>
        <v>5.2419354838709679E-2</v>
      </c>
      <c r="AN205" s="8">
        <f t="shared" si="383"/>
        <v>6.7427385892116179E-2</v>
      </c>
      <c r="AO205" s="8">
        <f t="shared" si="383"/>
        <v>0.11018957345971564</v>
      </c>
      <c r="AP205" s="8">
        <f t="shared" si="383"/>
        <v>7.4803149606299218E-2</v>
      </c>
      <c r="AQ205" s="8">
        <f t="shared" si="383"/>
        <v>8.5164835164835168E-2</v>
      </c>
      <c r="AR205" s="8">
        <f t="shared" si="383"/>
        <v>0.11487481590574374</v>
      </c>
      <c r="AS205" s="8">
        <f t="shared" si="383"/>
        <v>0.17504051863857376</v>
      </c>
      <c r="AT205" s="8">
        <f t="shared" si="383"/>
        <v>0.16754850088183421</v>
      </c>
      <c r="AU205" s="8">
        <f t="shared" si="383"/>
        <v>0.16666666666666666</v>
      </c>
      <c r="AV205" s="8">
        <f t="shared" si="383"/>
        <v>0.20662768031189083</v>
      </c>
      <c r="AW205" s="8">
        <f t="shared" si="383"/>
        <v>0.23142250530785563</v>
      </c>
      <c r="AX205" s="8">
        <f t="shared" si="383"/>
        <v>0.3383084577114428</v>
      </c>
      <c r="AY205" s="8">
        <f t="shared" si="383"/>
        <v>0.39142091152815012</v>
      </c>
      <c r="AZ205" s="8">
        <f t="shared" si="383"/>
        <v>0.37016574585635359</v>
      </c>
      <c r="BA205" s="8">
        <f t="shared" si="383"/>
        <v>0.5389408099688473</v>
      </c>
      <c r="BB205" s="8">
        <f t="shared" si="383"/>
        <v>0.7450199203187251</v>
      </c>
      <c r="BC205" s="8">
        <f t="shared" si="383"/>
        <v>1.2021857923497268</v>
      </c>
      <c r="BD205" s="8">
        <f t="shared" si="383"/>
        <v>0.93150684931506844</v>
      </c>
      <c r="BE205" s="8">
        <f t="shared" si="383"/>
        <v>1.5971223021582734</v>
      </c>
      <c r="BF205" s="8">
        <f t="shared" si="383"/>
        <v>2.1623931623931623</v>
      </c>
      <c r="BG205" s="8">
        <f t="shared" si="383"/>
        <v>2.3364485981308412</v>
      </c>
      <c r="BH205" s="8">
        <f t="shared" si="383"/>
        <v>4.0428571428571427</v>
      </c>
      <c r="BI205" s="8">
        <f t="shared" si="383"/>
        <v>51.833333333333336</v>
      </c>
      <c r="BJ205" s="8">
        <f t="shared" si="383"/>
        <v>8.4222222222222225</v>
      </c>
      <c r="BK205" s="8">
        <f t="shared" si="383"/>
        <v>35.090909090909093</v>
      </c>
      <c r="BL205" s="8">
        <f t="shared" si="383"/>
        <v>22.95</v>
      </c>
      <c r="BM205" s="8">
        <f t="shared" si="383"/>
        <v>-13.358974358974359</v>
      </c>
      <c r="BN205" s="8">
        <f t="shared" si="383"/>
        <v>-13.416666666666666</v>
      </c>
      <c r="BO205" s="8">
        <f t="shared" ref="BO205:CY205" si="384">BO157/BO59</f>
        <v>157</v>
      </c>
      <c r="BP205" s="8">
        <f t="shared" si="384"/>
        <v>-54.888888888888886</v>
      </c>
      <c r="BQ205" s="8">
        <f t="shared" si="384"/>
        <v>-26.470588235294116</v>
      </c>
      <c r="BR205" s="8">
        <f t="shared" si="384"/>
        <v>-53.4</v>
      </c>
      <c r="BS205" s="8">
        <f t="shared" si="384"/>
        <v>-28.611111111111111</v>
      </c>
      <c r="BT205" s="8">
        <f t="shared" si="384"/>
        <v>170</v>
      </c>
      <c r="BU205" s="8">
        <f t="shared" si="384"/>
        <v>23.2</v>
      </c>
      <c r="BV205" s="8">
        <f t="shared" si="384"/>
        <v>50.333333333333336</v>
      </c>
      <c r="BW205" s="8">
        <f t="shared" si="384"/>
        <v>65.5</v>
      </c>
      <c r="BX205" s="8">
        <f t="shared" si="384"/>
        <v>-59.909090909090907</v>
      </c>
      <c r="BY205" s="8">
        <f t="shared" si="384"/>
        <v>54.642857142857146</v>
      </c>
      <c r="BZ205" s="8">
        <f t="shared" si="384"/>
        <v>166.4</v>
      </c>
      <c r="CA205" s="8">
        <f t="shared" si="384"/>
        <v>52.555555555555557</v>
      </c>
      <c r="CB205" s="8">
        <f t="shared" si="384"/>
        <v>366.33333333333331</v>
      </c>
      <c r="CC205" s="8">
        <f t="shared" si="384"/>
        <v>-1204</v>
      </c>
      <c r="CD205" s="8">
        <f t="shared" si="384"/>
        <v>-203</v>
      </c>
      <c r="CE205" s="8">
        <f t="shared" si="384"/>
        <v>330</v>
      </c>
      <c r="CF205" s="8">
        <f t="shared" si="384"/>
        <v>-474</v>
      </c>
      <c r="CG205" s="8">
        <f t="shared" si="384"/>
        <v>765</v>
      </c>
      <c r="CH205" s="8">
        <f t="shared" si="384"/>
        <v>283.66666666666669</v>
      </c>
      <c r="CI205" s="8">
        <f t="shared" si="384"/>
        <v>444.25</v>
      </c>
      <c r="CJ205" s="8">
        <f t="shared" si="384"/>
        <v>-355.4</v>
      </c>
      <c r="CK205" s="8">
        <f t="shared" si="384"/>
        <v>957.5</v>
      </c>
      <c r="CL205" s="8">
        <f t="shared" si="384"/>
        <v>384.8</v>
      </c>
      <c r="CM205" s="8">
        <f t="shared" si="384"/>
        <v>-716.5</v>
      </c>
      <c r="CN205" s="8">
        <f t="shared" si="384"/>
        <v>-1504</v>
      </c>
      <c r="CO205" s="8"/>
      <c r="CP205" s="8">
        <f t="shared" si="384"/>
        <v>-1270</v>
      </c>
      <c r="CQ205" s="8">
        <f t="shared" si="384"/>
        <v>1026</v>
      </c>
      <c r="CR205" s="8">
        <f t="shared" si="384"/>
        <v>879</v>
      </c>
      <c r="CS205" s="8"/>
      <c r="CT205" s="8">
        <f t="shared" si="384"/>
        <v>-619</v>
      </c>
      <c r="CU205" s="8"/>
      <c r="CV205" s="8" t="e">
        <f t="shared" si="384"/>
        <v>#DIV/0!</v>
      </c>
      <c r="CW205" s="8" t="e">
        <f t="shared" si="384"/>
        <v>#DIV/0!</v>
      </c>
      <c r="CX205" s="8">
        <f t="shared" si="384"/>
        <v>160</v>
      </c>
      <c r="CY205" s="8" t="e">
        <f t="shared" si="384"/>
        <v>#DIV/0!</v>
      </c>
    </row>
    <row r="206" spans="1:103" x14ac:dyDescent="0.3">
      <c r="A206" s="10">
        <v>2009</v>
      </c>
      <c r="B206" s="8"/>
      <c r="C206" s="8">
        <f t="shared" ref="C206:BN206" si="385">C158/C60</f>
        <v>6.78391959798995E-2</v>
      </c>
      <c r="D206" s="8">
        <f t="shared" si="385"/>
        <v>3.4934497816593885E-2</v>
      </c>
      <c r="E206" s="8">
        <f t="shared" si="385"/>
        <v>3.3802816901408447E-2</v>
      </c>
      <c r="F206" s="8">
        <f t="shared" si="385"/>
        <v>5.1724137931034482E-3</v>
      </c>
      <c r="G206" s="8">
        <f t="shared" si="385"/>
        <v>3.0303030303030304E-2</v>
      </c>
      <c r="H206" s="8">
        <f t="shared" si="385"/>
        <v>2.7722772277227723E-2</v>
      </c>
      <c r="I206" s="8">
        <f t="shared" si="385"/>
        <v>8.0428954423592495E-3</v>
      </c>
      <c r="J206" s="8">
        <f t="shared" si="385"/>
        <v>5.3984575835475578E-2</v>
      </c>
      <c r="K206" s="8">
        <f t="shared" si="385"/>
        <v>1.2195121951219513E-2</v>
      </c>
      <c r="L206" s="8">
        <f t="shared" si="385"/>
        <v>0</v>
      </c>
      <c r="M206" s="8">
        <f t="shared" si="385"/>
        <v>2.8639618138424822E-2</v>
      </c>
      <c r="N206" s="8">
        <f t="shared" si="385"/>
        <v>2.3923444976076554E-3</v>
      </c>
      <c r="O206" s="8">
        <f t="shared" si="385"/>
        <v>2.4875621890547265E-2</v>
      </c>
      <c r="P206" s="8">
        <f t="shared" si="385"/>
        <v>2.2004889975550123E-2</v>
      </c>
      <c r="Q206" s="8">
        <f t="shared" si="385"/>
        <v>3.9719626168224297E-2</v>
      </c>
      <c r="R206" s="8">
        <f t="shared" si="385"/>
        <v>1.1961722488038277E-2</v>
      </c>
      <c r="S206" s="8">
        <f t="shared" si="385"/>
        <v>2.6565464895635674E-2</v>
      </c>
      <c r="T206" s="8">
        <f t="shared" si="385"/>
        <v>2.336448598130841E-2</v>
      </c>
      <c r="U206" s="8">
        <f t="shared" si="385"/>
        <v>-8.2644628099173556E-3</v>
      </c>
      <c r="V206" s="8">
        <f t="shared" si="385"/>
        <v>7.9877112135176648E-2</v>
      </c>
      <c r="W206" s="8">
        <f t="shared" si="385"/>
        <v>-9.2449922958397532E-2</v>
      </c>
      <c r="X206" s="8">
        <f t="shared" si="385"/>
        <v>-9.876543209876543E-3</v>
      </c>
      <c r="Y206" s="8">
        <f t="shared" si="385"/>
        <v>-1.288404360753221E-2</v>
      </c>
      <c r="Z206" s="8">
        <f t="shared" si="385"/>
        <v>8.2028337061894104E-3</v>
      </c>
      <c r="AA206" s="8">
        <f t="shared" si="385"/>
        <v>2.0912547528517109E-2</v>
      </c>
      <c r="AB206" s="8">
        <f t="shared" si="385"/>
        <v>1.7932489451476793E-2</v>
      </c>
      <c r="AC206" s="8">
        <f t="shared" si="385"/>
        <v>1.6511867905056758E-2</v>
      </c>
      <c r="AD206" s="8">
        <f t="shared" si="385"/>
        <v>1.5900056785917091E-2</v>
      </c>
      <c r="AE206" s="8">
        <f t="shared" si="385"/>
        <v>4.8811817597944764E-2</v>
      </c>
      <c r="AF206" s="8">
        <f t="shared" si="385"/>
        <v>1.6791044776119403E-2</v>
      </c>
      <c r="AG206" s="8">
        <f t="shared" si="385"/>
        <v>2.6315789473684209E-2</v>
      </c>
      <c r="AH206" s="8">
        <f t="shared" si="385"/>
        <v>6.8965517241379309E-2</v>
      </c>
      <c r="AI206" s="8">
        <f t="shared" si="385"/>
        <v>8.4049665711556823E-2</v>
      </c>
      <c r="AJ206" s="8">
        <f t="shared" si="385"/>
        <v>4.2372881355932202E-2</v>
      </c>
      <c r="AK206" s="8">
        <f t="shared" si="385"/>
        <v>7.226354941551541E-2</v>
      </c>
      <c r="AL206" s="8">
        <f t="shared" si="385"/>
        <v>5.2443384982121574E-2</v>
      </c>
      <c r="AM206" s="8">
        <f t="shared" si="385"/>
        <v>0.1070931849791377</v>
      </c>
      <c r="AN206" s="8">
        <f t="shared" si="385"/>
        <v>0.12081513828238719</v>
      </c>
      <c r="AO206" s="8">
        <f t="shared" si="385"/>
        <v>8.7999999999999995E-2</v>
      </c>
      <c r="AP206" s="8">
        <f t="shared" si="385"/>
        <v>0.13587786259541984</v>
      </c>
      <c r="AQ206" s="8">
        <f t="shared" si="385"/>
        <v>0.14285714285714285</v>
      </c>
      <c r="AR206" s="8">
        <f t="shared" si="385"/>
        <v>0.13855421686746988</v>
      </c>
      <c r="AS206" s="8">
        <f t="shared" si="385"/>
        <v>0.22520661157024793</v>
      </c>
      <c r="AT206" s="8">
        <f t="shared" si="385"/>
        <v>0.20044052863436124</v>
      </c>
      <c r="AU206" s="8">
        <f t="shared" si="385"/>
        <v>0.26237623762376239</v>
      </c>
      <c r="AV206" s="8">
        <f t="shared" si="385"/>
        <v>0.26763990267639903</v>
      </c>
      <c r="AW206" s="8">
        <f t="shared" si="385"/>
        <v>0.34615384615384615</v>
      </c>
      <c r="AX206" s="8">
        <f t="shared" si="385"/>
        <v>0.42281879194630873</v>
      </c>
      <c r="AY206" s="8">
        <f t="shared" si="385"/>
        <v>0.53409090909090906</v>
      </c>
      <c r="AZ206" s="8">
        <f t="shared" si="385"/>
        <v>0.85922330097087374</v>
      </c>
      <c r="BA206" s="8">
        <f t="shared" si="385"/>
        <v>0.60507246376811596</v>
      </c>
      <c r="BB206" s="8">
        <f t="shared" si="385"/>
        <v>0.98029556650246308</v>
      </c>
      <c r="BC206" s="8">
        <f t="shared" si="385"/>
        <v>1.3435114503816794</v>
      </c>
      <c r="BD206" s="8">
        <f t="shared" si="385"/>
        <v>1.9242424242424243</v>
      </c>
      <c r="BE206" s="8">
        <f t="shared" si="385"/>
        <v>2.1603773584905661</v>
      </c>
      <c r="BF206" s="8">
        <f t="shared" si="385"/>
        <v>2.1382113821138211</v>
      </c>
      <c r="BG206" s="8">
        <f t="shared" si="385"/>
        <v>4.2241379310344831</v>
      </c>
      <c r="BH206" s="8">
        <f t="shared" si="385"/>
        <v>3.3626373626373627</v>
      </c>
      <c r="BI206" s="8">
        <f t="shared" si="385"/>
        <v>5.75</v>
      </c>
      <c r="BJ206" s="8">
        <f t="shared" si="385"/>
        <v>4.0459770114942533</v>
      </c>
      <c r="BK206" s="8">
        <f t="shared" si="385"/>
        <v>5.3194444444444446</v>
      </c>
      <c r="BL206" s="8">
        <f t="shared" si="385"/>
        <v>17.2</v>
      </c>
      <c r="BM206" s="8">
        <f t="shared" si="385"/>
        <v>20.440000000000001</v>
      </c>
      <c r="BN206" s="8">
        <f t="shared" si="385"/>
        <v>-26.105263157894736</v>
      </c>
      <c r="BO206" s="8">
        <f t="shared" ref="BO206:CY206" si="386">BO158/BO60</f>
        <v>-41.916666666666664</v>
      </c>
      <c r="BP206" s="8">
        <f t="shared" si="386"/>
        <v>-124</v>
      </c>
      <c r="BQ206" s="8">
        <f t="shared" si="386"/>
        <v>-168</v>
      </c>
      <c r="BR206" s="8">
        <f t="shared" si="386"/>
        <v>-493</v>
      </c>
      <c r="BS206" s="8">
        <f t="shared" si="386"/>
        <v>-124.5</v>
      </c>
      <c r="BT206" s="8">
        <f t="shared" si="386"/>
        <v>-114.6</v>
      </c>
      <c r="BU206" s="8">
        <f t="shared" si="386"/>
        <v>38.733333333333334</v>
      </c>
      <c r="BV206" s="8">
        <f t="shared" si="386"/>
        <v>41.071428571428569</v>
      </c>
      <c r="BW206" s="8">
        <f t="shared" si="386"/>
        <v>22.571428571428573</v>
      </c>
      <c r="BX206" s="8">
        <f t="shared" si="386"/>
        <v>17.684210526315791</v>
      </c>
      <c r="BY206" s="8">
        <f t="shared" si="386"/>
        <v>27.73076923076923</v>
      </c>
      <c r="BZ206" s="8">
        <f t="shared" si="386"/>
        <v>87.666666666666671</v>
      </c>
      <c r="CA206" s="8">
        <f t="shared" si="386"/>
        <v>63.642857142857146</v>
      </c>
      <c r="CB206" s="8">
        <f t="shared" si="386"/>
        <v>83</v>
      </c>
      <c r="CC206" s="8">
        <f t="shared" si="386"/>
        <v>90.666666666666671</v>
      </c>
      <c r="CD206" s="8">
        <f t="shared" si="386"/>
        <v>92.692307692307693</v>
      </c>
      <c r="CE206" s="8">
        <f t="shared" si="386"/>
        <v>215.83333333333334</v>
      </c>
      <c r="CF206" s="8">
        <f t="shared" si="386"/>
        <v>193.14285714285714</v>
      </c>
      <c r="CG206" s="8">
        <f t="shared" si="386"/>
        <v>218.28571428571428</v>
      </c>
      <c r="CH206" s="8">
        <f t="shared" si="386"/>
        <v>318.60000000000002</v>
      </c>
      <c r="CI206" s="8">
        <f t="shared" si="386"/>
        <v>1699</v>
      </c>
      <c r="CJ206" s="8">
        <f t="shared" si="386"/>
        <v>-1825</v>
      </c>
      <c r="CK206" s="8">
        <f t="shared" si="386"/>
        <v>1771</v>
      </c>
      <c r="CL206" s="8"/>
      <c r="CM206" s="8">
        <f t="shared" si="386"/>
        <v>306.33333333333331</v>
      </c>
      <c r="CN206" s="8">
        <f t="shared" si="386"/>
        <v>208.85714285714286</v>
      </c>
      <c r="CO206" s="8">
        <f t="shared" si="386"/>
        <v>-698</v>
      </c>
      <c r="CP206" s="8">
        <f t="shared" si="386"/>
        <v>264.39999999999998</v>
      </c>
      <c r="CQ206" s="8">
        <f t="shared" si="386"/>
        <v>511.5</v>
      </c>
      <c r="CR206" s="8">
        <f t="shared" si="386"/>
        <v>-911</v>
      </c>
      <c r="CS206" s="8"/>
      <c r="CT206" s="8">
        <f t="shared" si="386"/>
        <v>307</v>
      </c>
      <c r="CU206" s="8">
        <f t="shared" si="386"/>
        <v>-240.5</v>
      </c>
      <c r="CV206" s="8" t="e">
        <f t="shared" si="386"/>
        <v>#DIV/0!</v>
      </c>
      <c r="CW206" s="8">
        <f t="shared" si="386"/>
        <v>-116.5</v>
      </c>
      <c r="CX206" s="8">
        <f t="shared" si="386"/>
        <v>153</v>
      </c>
      <c r="CY206" s="8" t="e">
        <f t="shared" si="386"/>
        <v>#DIV/0!</v>
      </c>
    </row>
    <row r="207" spans="1:103" x14ac:dyDescent="0.3">
      <c r="A207" s="10">
        <v>2010</v>
      </c>
      <c r="B207" s="8"/>
      <c r="C207" s="8">
        <f t="shared" ref="C207:BN207" si="387">C159/C61</f>
        <v>0.37172774869109948</v>
      </c>
      <c r="D207" s="8">
        <f t="shared" si="387"/>
        <v>2.3099133782483156E-2</v>
      </c>
      <c r="E207" s="8">
        <f t="shared" si="387"/>
        <v>-1.098901098901099E-2</v>
      </c>
      <c r="F207" s="8">
        <f t="shared" si="387"/>
        <v>3.4426229508196723E-2</v>
      </c>
      <c r="G207" s="8">
        <f t="shared" si="387"/>
        <v>3.2828282828282832E-2</v>
      </c>
      <c r="H207" s="8">
        <f t="shared" si="387"/>
        <v>-4.8192771084337354E-3</v>
      </c>
      <c r="I207" s="8">
        <f t="shared" si="387"/>
        <v>4.189944134078212E-2</v>
      </c>
      <c r="J207" s="8">
        <f t="shared" si="387"/>
        <v>2.5210084033613446E-2</v>
      </c>
      <c r="K207" s="8">
        <f t="shared" si="387"/>
        <v>1.0723860589812333E-2</v>
      </c>
      <c r="L207" s="8">
        <f t="shared" si="387"/>
        <v>2.616279069767442E-2</v>
      </c>
      <c r="M207" s="8">
        <f t="shared" si="387"/>
        <v>4.0322580645161289E-2</v>
      </c>
      <c r="N207" s="8">
        <f t="shared" si="387"/>
        <v>0</v>
      </c>
      <c r="O207" s="8">
        <f t="shared" si="387"/>
        <v>3.7037037037037035E-2</v>
      </c>
      <c r="P207" s="8">
        <f t="shared" si="387"/>
        <v>1.3477088948787063E-2</v>
      </c>
      <c r="Q207" s="8">
        <f t="shared" si="387"/>
        <v>7.537688442211055E-3</v>
      </c>
      <c r="R207" s="8">
        <f t="shared" si="387"/>
        <v>6.3888888888888884E-2</v>
      </c>
      <c r="S207" s="8">
        <f t="shared" si="387"/>
        <v>-1.6697588126159554E-2</v>
      </c>
      <c r="T207" s="8">
        <f t="shared" si="387"/>
        <v>-1.0296010296010296E-2</v>
      </c>
      <c r="U207" s="8">
        <f t="shared" si="387"/>
        <v>3.3167495854063019E-3</v>
      </c>
      <c r="V207" s="8">
        <f t="shared" si="387"/>
        <v>1.2886597938144329E-2</v>
      </c>
      <c r="W207" s="8">
        <f t="shared" si="387"/>
        <v>-5.8151609553478714E-2</v>
      </c>
      <c r="X207" s="8">
        <f t="shared" si="387"/>
        <v>-1.7211703958691911E-3</v>
      </c>
      <c r="Y207" s="8">
        <f t="shared" si="387"/>
        <v>1.3623978201634877E-2</v>
      </c>
      <c r="Z207" s="8">
        <f t="shared" si="387"/>
        <v>1.1804384485666104E-2</v>
      </c>
      <c r="AA207" s="8">
        <f t="shared" si="387"/>
        <v>-1.8518518518518517E-2</v>
      </c>
      <c r="AB207" s="8">
        <f t="shared" si="387"/>
        <v>2.8864970645792562E-2</v>
      </c>
      <c r="AC207" s="8">
        <f t="shared" si="387"/>
        <v>9.9909173478655768E-3</v>
      </c>
      <c r="AD207" s="8">
        <f t="shared" si="387"/>
        <v>3.131115459882583E-2</v>
      </c>
      <c r="AE207" s="8">
        <f t="shared" si="387"/>
        <v>2.5179856115107913E-2</v>
      </c>
      <c r="AF207" s="8">
        <f t="shared" si="387"/>
        <v>3.0864197530864196E-2</v>
      </c>
      <c r="AG207" s="8">
        <f t="shared" si="387"/>
        <v>3.1060094530722483E-2</v>
      </c>
      <c r="AH207" s="8">
        <f t="shared" si="387"/>
        <v>7.8602620087336247E-2</v>
      </c>
      <c r="AI207" s="8">
        <f t="shared" si="387"/>
        <v>6.3451776649746189E-2</v>
      </c>
      <c r="AJ207" s="8">
        <f t="shared" si="387"/>
        <v>1.9376579612468407E-2</v>
      </c>
      <c r="AK207" s="8">
        <f t="shared" si="387"/>
        <v>7.1578947368421048E-2</v>
      </c>
      <c r="AL207" s="8">
        <f t="shared" si="387"/>
        <v>8.4805653710247356E-2</v>
      </c>
      <c r="AM207" s="8">
        <f t="shared" si="387"/>
        <v>2.6106696935300794E-2</v>
      </c>
      <c r="AN207" s="8">
        <f t="shared" si="387"/>
        <v>0.12172573189522343</v>
      </c>
      <c r="AO207" s="8">
        <f t="shared" si="387"/>
        <v>7.8195488721804512E-2</v>
      </c>
      <c r="AP207" s="8">
        <f t="shared" si="387"/>
        <v>0.12937062937062938</v>
      </c>
      <c r="AQ207" s="8">
        <f t="shared" si="387"/>
        <v>0.15026833631484796</v>
      </c>
      <c r="AR207" s="8">
        <f t="shared" si="387"/>
        <v>0.15682656826568267</v>
      </c>
      <c r="AS207" s="8">
        <f t="shared" si="387"/>
        <v>0.18307086614173229</v>
      </c>
      <c r="AT207" s="8">
        <f t="shared" si="387"/>
        <v>0.22902494331065759</v>
      </c>
      <c r="AU207" s="8">
        <f t="shared" si="387"/>
        <v>0.2285012285012285</v>
      </c>
      <c r="AV207" s="8">
        <f t="shared" si="387"/>
        <v>0.26988636363636365</v>
      </c>
      <c r="AW207" s="8">
        <f t="shared" si="387"/>
        <v>0.34375</v>
      </c>
      <c r="AX207" s="8">
        <f t="shared" si="387"/>
        <v>0.29464285714285715</v>
      </c>
      <c r="AY207" s="8">
        <f t="shared" si="387"/>
        <v>0.59057971014492749</v>
      </c>
      <c r="AZ207" s="8">
        <f t="shared" si="387"/>
        <v>0.865979381443299</v>
      </c>
      <c r="BA207" s="8">
        <f t="shared" si="387"/>
        <v>0.72983870967741937</v>
      </c>
      <c r="BB207" s="8">
        <f t="shared" si="387"/>
        <v>1.0879120879120878</v>
      </c>
      <c r="BC207" s="8">
        <f t="shared" si="387"/>
        <v>0.96039603960396036</v>
      </c>
      <c r="BD207" s="8">
        <f t="shared" si="387"/>
        <v>1.5555555555555556</v>
      </c>
      <c r="BE207" s="8">
        <f t="shared" si="387"/>
        <v>1.8538461538461539</v>
      </c>
      <c r="BF207" s="8">
        <f t="shared" si="387"/>
        <v>2.4672897196261681</v>
      </c>
      <c r="BG207" s="8">
        <f t="shared" si="387"/>
        <v>2.78</v>
      </c>
      <c r="BH207" s="8">
        <f t="shared" si="387"/>
        <v>4.3934426229508201</v>
      </c>
      <c r="BI207" s="8">
        <f t="shared" si="387"/>
        <v>7.2</v>
      </c>
      <c r="BJ207" s="8">
        <f t="shared" si="387"/>
        <v>6.7</v>
      </c>
      <c r="BK207" s="8">
        <f t="shared" si="387"/>
        <v>10.054054054054054</v>
      </c>
      <c r="BL207" s="8">
        <f t="shared" si="387"/>
        <v>21.35</v>
      </c>
      <c r="BM207" s="8">
        <f t="shared" si="387"/>
        <v>33.266666666666666</v>
      </c>
      <c r="BN207" s="8">
        <f t="shared" si="387"/>
        <v>-50.18181818181818</v>
      </c>
      <c r="BO207" s="8">
        <f t="shared" ref="BO207:CY207" si="388">BO159/BO61</f>
        <v>15.527777777777779</v>
      </c>
      <c r="BP207" s="8">
        <f t="shared" si="388"/>
        <v>26.363636363636363</v>
      </c>
      <c r="BQ207" s="8">
        <f t="shared" si="388"/>
        <v>-274.5</v>
      </c>
      <c r="BR207" s="8">
        <f t="shared" si="388"/>
        <v>-47.81818181818182</v>
      </c>
      <c r="BS207" s="8">
        <f t="shared" si="388"/>
        <v>-39.071428571428569</v>
      </c>
      <c r="BT207" s="8">
        <f t="shared" si="388"/>
        <v>49</v>
      </c>
      <c r="BU207" s="8">
        <f t="shared" si="388"/>
        <v>26.739130434782609</v>
      </c>
      <c r="BV207" s="8">
        <f t="shared" si="388"/>
        <v>205.33333333333334</v>
      </c>
      <c r="BW207" s="8">
        <f t="shared" si="388"/>
        <v>50.307692307692307</v>
      </c>
      <c r="BX207" s="8"/>
      <c r="BY207" s="8">
        <f t="shared" si="388"/>
        <v>99.857142857142861</v>
      </c>
      <c r="BZ207" s="8">
        <f t="shared" si="388"/>
        <v>-803</v>
      </c>
      <c r="CA207" s="8">
        <f t="shared" si="388"/>
        <v>175.2</v>
      </c>
      <c r="CB207" s="8">
        <f t="shared" si="388"/>
        <v>79.916666666666671</v>
      </c>
      <c r="CC207" s="8">
        <f t="shared" si="388"/>
        <v>181.33333333333334</v>
      </c>
      <c r="CD207" s="8">
        <f t="shared" si="388"/>
        <v>104.09090909090909</v>
      </c>
      <c r="CE207" s="8">
        <f t="shared" si="388"/>
        <v>256.60000000000002</v>
      </c>
      <c r="CF207" s="8">
        <f t="shared" si="388"/>
        <v>110.33333333333333</v>
      </c>
      <c r="CG207" s="8">
        <f t="shared" si="388"/>
        <v>-1421</v>
      </c>
      <c r="CH207" s="8">
        <f t="shared" si="388"/>
        <v>398.25</v>
      </c>
      <c r="CI207" s="8">
        <f t="shared" si="388"/>
        <v>1552</v>
      </c>
      <c r="CJ207" s="8">
        <f t="shared" si="388"/>
        <v>338.2</v>
      </c>
      <c r="CK207" s="8">
        <f t="shared" si="388"/>
        <v>287.83333333333331</v>
      </c>
      <c r="CL207" s="8">
        <f t="shared" si="388"/>
        <v>-1754</v>
      </c>
      <c r="CM207" s="8">
        <f t="shared" si="388"/>
        <v>861.5</v>
      </c>
      <c r="CN207" s="8">
        <f t="shared" si="388"/>
        <v>584</v>
      </c>
      <c r="CO207" s="8"/>
      <c r="CP207" s="8"/>
      <c r="CQ207" s="8"/>
      <c r="CR207" s="8"/>
      <c r="CS207" s="8">
        <f t="shared" si="388"/>
        <v>253.33333333333334</v>
      </c>
      <c r="CT207" s="8"/>
      <c r="CU207" s="8"/>
      <c r="CV207" s="8" t="e">
        <f t="shared" si="388"/>
        <v>#DIV/0!</v>
      </c>
      <c r="CW207" s="8">
        <f t="shared" si="388"/>
        <v>227</v>
      </c>
      <c r="CX207" s="8" t="e">
        <f t="shared" si="388"/>
        <v>#DIV/0!</v>
      </c>
      <c r="CY207" s="8" t="e">
        <f t="shared" si="388"/>
        <v>#DIV/0!</v>
      </c>
    </row>
    <row r="208" spans="1:103" x14ac:dyDescent="0.3">
      <c r="A208" s="10">
        <v>2011</v>
      </c>
      <c r="B208" s="8"/>
      <c r="C208" s="8">
        <f t="shared" ref="C208:BN208" si="389">C160/C62</f>
        <v>0.45853658536585368</v>
      </c>
      <c r="D208" s="8">
        <f t="shared" si="389"/>
        <v>2.7436140018921477E-2</v>
      </c>
      <c r="E208" s="8">
        <f t="shared" si="389"/>
        <v>2.176696542893726E-2</v>
      </c>
      <c r="F208" s="8">
        <f t="shared" si="389"/>
        <v>1.2477718360071301E-2</v>
      </c>
      <c r="G208" s="8">
        <f t="shared" si="389"/>
        <v>2.8112449799196786E-2</v>
      </c>
      <c r="H208" s="8">
        <f t="shared" si="389"/>
        <v>2.1825396825396824E-2</v>
      </c>
      <c r="I208" s="8">
        <f t="shared" si="389"/>
        <v>1.0498687664041995E-2</v>
      </c>
      <c r="J208" s="8">
        <f t="shared" si="389"/>
        <v>4.9019607843137254E-2</v>
      </c>
      <c r="K208" s="8">
        <f t="shared" si="389"/>
        <v>-1.1834319526627219E-2</v>
      </c>
      <c r="L208" s="8">
        <f t="shared" si="389"/>
        <v>2.364864864864865E-2</v>
      </c>
      <c r="M208" s="8">
        <f t="shared" si="389"/>
        <v>8.771929824561403E-3</v>
      </c>
      <c r="N208" s="8">
        <f t="shared" si="389"/>
        <v>1.3812154696132596E-2</v>
      </c>
      <c r="O208" s="8">
        <f t="shared" si="389"/>
        <v>5.0704225352112678E-2</v>
      </c>
      <c r="P208" s="8">
        <f t="shared" si="389"/>
        <v>-0.02</v>
      </c>
      <c r="Q208" s="8">
        <f t="shared" si="389"/>
        <v>6.8181818181818177E-2</v>
      </c>
      <c r="R208" s="8">
        <f t="shared" si="389"/>
        <v>4.1884816753926704E-2</v>
      </c>
      <c r="S208" s="8">
        <f t="shared" si="389"/>
        <v>2.1097046413502109E-2</v>
      </c>
      <c r="T208" s="8">
        <f t="shared" si="389"/>
        <v>-1.2448132780082987E-2</v>
      </c>
      <c r="U208" s="8">
        <f t="shared" si="389"/>
        <v>-3.7623762376237622E-2</v>
      </c>
      <c r="V208" s="8">
        <f t="shared" si="389"/>
        <v>4.006677796327212E-2</v>
      </c>
      <c r="W208" s="8">
        <f t="shared" si="389"/>
        <v>9.7799511002444987E-3</v>
      </c>
      <c r="X208" s="8">
        <f t="shared" si="389"/>
        <v>1.8281535648994515E-3</v>
      </c>
      <c r="Y208" s="8">
        <f t="shared" si="389"/>
        <v>1.1928429423459244E-2</v>
      </c>
      <c r="Z208" s="8">
        <f t="shared" si="389"/>
        <v>1.2028430836522689E-2</v>
      </c>
      <c r="AA208" s="8">
        <f t="shared" si="389"/>
        <v>3.3065658951346244E-3</v>
      </c>
      <c r="AB208" s="8">
        <f t="shared" si="389"/>
        <v>7.0892410341951628E-3</v>
      </c>
      <c r="AC208" s="8">
        <f t="shared" si="389"/>
        <v>4.3066322136089581E-3</v>
      </c>
      <c r="AD208" s="8">
        <f t="shared" si="389"/>
        <v>-8.2229328460484245E-3</v>
      </c>
      <c r="AE208" s="8">
        <f t="shared" si="389"/>
        <v>4.1122399612965647E-2</v>
      </c>
      <c r="AF208" s="8">
        <f t="shared" si="389"/>
        <v>4.2350449973530969E-2</v>
      </c>
      <c r="AG208" s="8">
        <f t="shared" si="389"/>
        <v>3.7869822485207101E-2</v>
      </c>
      <c r="AH208" s="8">
        <f t="shared" si="389"/>
        <v>6.25E-2</v>
      </c>
      <c r="AI208" s="8">
        <f t="shared" si="389"/>
        <v>4.9224544841537425E-2</v>
      </c>
      <c r="AJ208" s="8">
        <f t="shared" si="389"/>
        <v>1.6228748068006182E-2</v>
      </c>
      <c r="AK208" s="8">
        <f t="shared" si="389"/>
        <v>4.7224523612261808E-2</v>
      </c>
      <c r="AL208" s="8">
        <f t="shared" si="389"/>
        <v>6.9025021570319242E-2</v>
      </c>
      <c r="AM208" s="8">
        <f t="shared" si="389"/>
        <v>6.6541705716963453E-2</v>
      </c>
      <c r="AN208" s="8">
        <f t="shared" si="389"/>
        <v>5.385427666314678E-2</v>
      </c>
      <c r="AO208" s="8">
        <f t="shared" si="389"/>
        <v>7.8160919540229884E-2</v>
      </c>
      <c r="AP208" s="8">
        <f t="shared" si="389"/>
        <v>9.0909090909090912E-2</v>
      </c>
      <c r="AQ208" s="8">
        <f t="shared" si="389"/>
        <v>0.12395543175487465</v>
      </c>
      <c r="AR208" s="8">
        <f t="shared" si="389"/>
        <v>8.0862533692722366E-2</v>
      </c>
      <c r="AS208" s="8">
        <f t="shared" si="389"/>
        <v>0.14463452566096424</v>
      </c>
      <c r="AT208" s="8">
        <f t="shared" si="389"/>
        <v>0.13043478260869565</v>
      </c>
      <c r="AU208" s="8">
        <f t="shared" si="389"/>
        <v>0.22117202268431002</v>
      </c>
      <c r="AV208" s="8">
        <f t="shared" si="389"/>
        <v>0.2669683257918552</v>
      </c>
      <c r="AW208" s="8">
        <f t="shared" si="389"/>
        <v>0.24852071005917159</v>
      </c>
      <c r="AX208" s="8">
        <f t="shared" si="389"/>
        <v>0.31457800511508949</v>
      </c>
      <c r="AY208" s="8">
        <f t="shared" si="389"/>
        <v>0.425414364640884</v>
      </c>
      <c r="AZ208" s="8">
        <f t="shared" si="389"/>
        <v>0.41621621621621624</v>
      </c>
      <c r="BA208" s="8">
        <f t="shared" si="389"/>
        <v>0.50617283950617287</v>
      </c>
      <c r="BB208" s="8">
        <f t="shared" si="389"/>
        <v>0.59848484848484851</v>
      </c>
      <c r="BC208" s="8">
        <f t="shared" si="389"/>
        <v>0.87234042553191493</v>
      </c>
      <c r="BD208" s="8">
        <f t="shared" si="389"/>
        <v>0.89915966386554624</v>
      </c>
      <c r="BE208" s="8">
        <f t="shared" si="389"/>
        <v>1.2698412698412698</v>
      </c>
      <c r="BF208" s="8">
        <f t="shared" si="389"/>
        <v>1.5497076023391814</v>
      </c>
      <c r="BG208" s="8">
        <f t="shared" si="389"/>
        <v>1.8496732026143792</v>
      </c>
      <c r="BH208" s="8">
        <f t="shared" si="389"/>
        <v>3.4683544303797467</v>
      </c>
      <c r="BI208" s="8">
        <f t="shared" si="389"/>
        <v>4.2125000000000004</v>
      </c>
      <c r="BJ208" s="8">
        <f t="shared" si="389"/>
        <v>7.0888888888888886</v>
      </c>
      <c r="BK208" s="8">
        <f t="shared" si="389"/>
        <v>8.7674418604651159</v>
      </c>
      <c r="BL208" s="8">
        <f t="shared" si="389"/>
        <v>7.3454545454545457</v>
      </c>
      <c r="BM208" s="8">
        <f t="shared" si="389"/>
        <v>-14.212121212121213</v>
      </c>
      <c r="BN208" s="8">
        <f t="shared" si="389"/>
        <v>-22.894736842105264</v>
      </c>
      <c r="BO208" s="8">
        <f t="shared" ref="BO208:CY208" si="390">BO160/BO62</f>
        <v>-60.1</v>
      </c>
      <c r="BP208" s="8">
        <f t="shared" si="390"/>
        <v>-48.363636363636367</v>
      </c>
      <c r="BQ208" s="8">
        <f t="shared" si="390"/>
        <v>-76.625</v>
      </c>
      <c r="BR208" s="8">
        <f t="shared" si="390"/>
        <v>-18.266666666666666</v>
      </c>
      <c r="BS208" s="8">
        <f t="shared" si="390"/>
        <v>-559</v>
      </c>
      <c r="BT208" s="8">
        <f t="shared" si="390"/>
        <v>-62.75</v>
      </c>
      <c r="BU208" s="8">
        <f t="shared" si="390"/>
        <v>-72.75</v>
      </c>
      <c r="BV208" s="8">
        <f t="shared" si="390"/>
        <v>310.5</v>
      </c>
      <c r="BW208" s="8">
        <f t="shared" si="390"/>
        <v>24.444444444444443</v>
      </c>
      <c r="BX208" s="8">
        <f t="shared" si="390"/>
        <v>33.363636363636367</v>
      </c>
      <c r="BY208" s="8">
        <f t="shared" si="390"/>
        <v>-180</v>
      </c>
      <c r="BZ208" s="8">
        <f t="shared" si="390"/>
        <v>-94.125</v>
      </c>
      <c r="CA208" s="8">
        <f t="shared" si="390"/>
        <v>44</v>
      </c>
      <c r="CB208" s="8">
        <f t="shared" si="390"/>
        <v>228</v>
      </c>
      <c r="CC208" s="8">
        <f t="shared" si="390"/>
        <v>105.2</v>
      </c>
      <c r="CD208" s="8">
        <f t="shared" si="390"/>
        <v>568</v>
      </c>
      <c r="CE208" s="8">
        <f t="shared" si="390"/>
        <v>144</v>
      </c>
      <c r="CF208" s="8">
        <f t="shared" si="390"/>
        <v>624.5</v>
      </c>
      <c r="CG208" s="8">
        <f t="shared" si="390"/>
        <v>197.71428571428572</v>
      </c>
      <c r="CH208" s="8">
        <f t="shared" si="390"/>
        <v>-212.14285714285714</v>
      </c>
      <c r="CI208" s="8">
        <f t="shared" si="390"/>
        <v>531.66666666666663</v>
      </c>
      <c r="CJ208" s="8"/>
      <c r="CK208" s="8">
        <f t="shared" si="390"/>
        <v>-439.5</v>
      </c>
      <c r="CL208" s="8">
        <f t="shared" si="390"/>
        <v>-288.16666666666669</v>
      </c>
      <c r="CM208" s="8">
        <f t="shared" si="390"/>
        <v>342.4</v>
      </c>
      <c r="CN208" s="8">
        <f t="shared" si="390"/>
        <v>541.33333333333337</v>
      </c>
      <c r="CO208" s="8">
        <f t="shared" si="390"/>
        <v>863</v>
      </c>
      <c r="CP208" s="8">
        <f t="shared" si="390"/>
        <v>1286</v>
      </c>
      <c r="CQ208" s="8">
        <f t="shared" si="390"/>
        <v>-1173</v>
      </c>
      <c r="CR208" s="8">
        <f t="shared" si="390"/>
        <v>1000</v>
      </c>
      <c r="CS208" s="8">
        <f t="shared" si="390"/>
        <v>-777</v>
      </c>
      <c r="CT208" s="8"/>
      <c r="CU208" s="8">
        <f t="shared" si="390"/>
        <v>160</v>
      </c>
      <c r="CV208" s="8" t="e">
        <f t="shared" si="390"/>
        <v>#DIV/0!</v>
      </c>
      <c r="CW208" s="8">
        <f t="shared" si="390"/>
        <v>238</v>
      </c>
      <c r="CX208" s="8" t="e">
        <f t="shared" si="390"/>
        <v>#DIV/0!</v>
      </c>
      <c r="CY208" s="8" t="e">
        <f t="shared" si="390"/>
        <v>#DIV/0!</v>
      </c>
    </row>
    <row r="209" spans="1:103" x14ac:dyDescent="0.3">
      <c r="A209" s="10">
        <v>2012</v>
      </c>
      <c r="B209" s="8"/>
      <c r="C209" s="8">
        <f t="shared" ref="C209:BN209" si="391">C161/C63</f>
        <v>0.43790849673202614</v>
      </c>
      <c r="D209" s="8">
        <f t="shared" si="391"/>
        <v>9.4501718213058413E-3</v>
      </c>
      <c r="E209" s="8">
        <f t="shared" si="391"/>
        <v>1.1995637949836423E-2</v>
      </c>
      <c r="F209" s="8">
        <f t="shared" si="391"/>
        <v>0</v>
      </c>
      <c r="G209" s="8">
        <f t="shared" si="391"/>
        <v>1.5625E-2</v>
      </c>
      <c r="H209" s="8">
        <f t="shared" si="391"/>
        <v>1.8148820326678767E-2</v>
      </c>
      <c r="I209" s="8">
        <f t="shared" si="391"/>
        <v>2.2371364653243849E-2</v>
      </c>
      <c r="J209" s="8">
        <f t="shared" si="391"/>
        <v>-4.8426150121065378E-3</v>
      </c>
      <c r="K209" s="8">
        <f t="shared" si="391"/>
        <v>1.7766497461928935E-2</v>
      </c>
      <c r="L209" s="8">
        <f t="shared" si="391"/>
        <v>-6.8181818181818179E-3</v>
      </c>
      <c r="M209" s="8">
        <f t="shared" si="391"/>
        <v>6.6666666666666666E-2</v>
      </c>
      <c r="N209" s="8">
        <f t="shared" si="391"/>
        <v>2.7932960893854749E-3</v>
      </c>
      <c r="O209" s="8">
        <f t="shared" si="391"/>
        <v>2.4449877750611247E-3</v>
      </c>
      <c r="P209" s="8">
        <f t="shared" si="391"/>
        <v>4.0865384615384616E-2</v>
      </c>
      <c r="Q209" s="8">
        <f t="shared" si="391"/>
        <v>1.8181818181818181E-2</v>
      </c>
      <c r="R209" s="8">
        <f t="shared" si="391"/>
        <v>1.1655011655011656E-2</v>
      </c>
      <c r="S209" s="8">
        <f t="shared" si="391"/>
        <v>4.1984732824427481E-2</v>
      </c>
      <c r="T209" s="8">
        <f t="shared" si="391"/>
        <v>-1.232394366197183E-2</v>
      </c>
      <c r="U209" s="8">
        <f t="shared" si="391"/>
        <v>4.1666666666666664E-2</v>
      </c>
      <c r="V209" s="8">
        <f t="shared" si="391"/>
        <v>1.7195767195767195E-2</v>
      </c>
      <c r="W209" s="8">
        <f t="shared" si="391"/>
        <v>1.365546218487395E-2</v>
      </c>
      <c r="X209" s="8">
        <f t="shared" si="391"/>
        <v>1.5368852459016393E-2</v>
      </c>
      <c r="Y209" s="8">
        <f t="shared" si="391"/>
        <v>2.1052631578947368E-2</v>
      </c>
      <c r="Z209" s="8">
        <f t="shared" si="391"/>
        <v>-2.3696682464454978E-3</v>
      </c>
      <c r="AA209" s="8">
        <f t="shared" si="391"/>
        <v>7.7439339184305631E-3</v>
      </c>
      <c r="AB209" s="8">
        <f t="shared" si="391"/>
        <v>3.4202650705429669E-3</v>
      </c>
      <c r="AC209" s="8">
        <f t="shared" si="391"/>
        <v>1.0360547036883548E-2</v>
      </c>
      <c r="AD209" s="8">
        <f t="shared" si="391"/>
        <v>1.4550264550264549E-2</v>
      </c>
      <c r="AE209" s="8">
        <f t="shared" si="391"/>
        <v>9.3632958801498131E-3</v>
      </c>
      <c r="AF209" s="8">
        <f t="shared" si="391"/>
        <v>1.4985014985014986E-2</v>
      </c>
      <c r="AG209" s="8">
        <f t="shared" si="391"/>
        <v>1.7057569296375266E-2</v>
      </c>
      <c r="AH209" s="8">
        <f t="shared" si="391"/>
        <v>3.0618892508143321E-2</v>
      </c>
      <c r="AI209" s="8">
        <f t="shared" si="391"/>
        <v>3.7011651816312545E-2</v>
      </c>
      <c r="AJ209" s="8">
        <f t="shared" si="391"/>
        <v>2.1970233876683204E-2</v>
      </c>
      <c r="AK209" s="8">
        <f t="shared" si="391"/>
        <v>4.1732283464566929E-2</v>
      </c>
      <c r="AL209" s="8">
        <f t="shared" si="391"/>
        <v>3.2828282828282832E-2</v>
      </c>
      <c r="AM209" s="8">
        <f t="shared" si="391"/>
        <v>5.0050050050050053E-2</v>
      </c>
      <c r="AN209" s="8">
        <f t="shared" si="391"/>
        <v>7.07182320441989E-2</v>
      </c>
      <c r="AO209" s="8">
        <f t="shared" si="391"/>
        <v>9.1656874265569913E-2</v>
      </c>
      <c r="AP209" s="8">
        <f t="shared" si="391"/>
        <v>5.8285714285714288E-2</v>
      </c>
      <c r="AQ209" s="8">
        <f t="shared" si="391"/>
        <v>0.11706629055007052</v>
      </c>
      <c r="AR209" s="8">
        <f t="shared" si="391"/>
        <v>0.11831442463533225</v>
      </c>
      <c r="AS209" s="8">
        <f t="shared" si="391"/>
        <v>0.14695945945945946</v>
      </c>
      <c r="AT209" s="8">
        <f t="shared" si="391"/>
        <v>0.19642857142857142</v>
      </c>
      <c r="AU209" s="8">
        <f t="shared" si="391"/>
        <v>0.18415841584158416</v>
      </c>
      <c r="AV209" s="8">
        <f t="shared" si="391"/>
        <v>0.25380710659898476</v>
      </c>
      <c r="AW209" s="8">
        <f t="shared" si="391"/>
        <v>0.36312849162011174</v>
      </c>
      <c r="AX209" s="8">
        <f t="shared" si="391"/>
        <v>0.32</v>
      </c>
      <c r="AY209" s="8">
        <f t="shared" si="391"/>
        <v>0.44366197183098594</v>
      </c>
      <c r="AZ209" s="8">
        <f t="shared" si="391"/>
        <v>0.49295774647887325</v>
      </c>
      <c r="BA209" s="8">
        <f t="shared" si="391"/>
        <v>0.78217821782178221</v>
      </c>
      <c r="BB209" s="8">
        <f t="shared" si="391"/>
        <v>0.71951219512195119</v>
      </c>
      <c r="BC209" s="8">
        <f t="shared" si="391"/>
        <v>0.93023255813953487</v>
      </c>
      <c r="BD209" s="8">
        <f t="shared" si="391"/>
        <v>0.93457943925233644</v>
      </c>
      <c r="BE209" s="8">
        <f t="shared" si="391"/>
        <v>1.3988095238095237</v>
      </c>
      <c r="BF209" s="8">
        <f t="shared" si="391"/>
        <v>1.7647058823529411</v>
      </c>
      <c r="BG209" s="8">
        <f t="shared" si="391"/>
        <v>1.8873239436619718</v>
      </c>
      <c r="BH209" s="8">
        <f t="shared" si="391"/>
        <v>2.8152173913043477</v>
      </c>
      <c r="BI209" s="8">
        <f t="shared" si="391"/>
        <v>8.0512820512820511</v>
      </c>
      <c r="BJ209" s="8">
        <f t="shared" si="391"/>
        <v>8.1860465116279073</v>
      </c>
      <c r="BK209" s="8">
        <f t="shared" si="391"/>
        <v>10.333333333333334</v>
      </c>
      <c r="BL209" s="8">
        <f t="shared" si="391"/>
        <v>9.8372093023255811</v>
      </c>
      <c r="BM209" s="8">
        <f t="shared" si="391"/>
        <v>-19.285714285714285</v>
      </c>
      <c r="BN209" s="8">
        <f t="shared" si="391"/>
        <v>-160</v>
      </c>
      <c r="BO209" s="8">
        <f t="shared" ref="BO209:CY209" si="392">BO161/BO63</f>
        <v>-43.083333333333336</v>
      </c>
      <c r="BP209" s="8">
        <f t="shared" si="392"/>
        <v>-25.565217391304348</v>
      </c>
      <c r="BQ209" s="8">
        <f t="shared" si="392"/>
        <v>165.75</v>
      </c>
      <c r="BR209" s="8">
        <f t="shared" si="392"/>
        <v>-62</v>
      </c>
      <c r="BS209" s="8">
        <f t="shared" si="392"/>
        <v>-20.9</v>
      </c>
      <c r="BT209" s="8">
        <f t="shared" si="392"/>
        <v>35.125</v>
      </c>
      <c r="BU209" s="8">
        <f t="shared" si="392"/>
        <v>-24.434782608695652</v>
      </c>
      <c r="BV209" s="8"/>
      <c r="BW209" s="8">
        <f t="shared" si="392"/>
        <v>42.3125</v>
      </c>
      <c r="BX209" s="8">
        <f t="shared" si="392"/>
        <v>-102.28571428571429</v>
      </c>
      <c r="BY209" s="8">
        <f t="shared" si="392"/>
        <v>361.5</v>
      </c>
      <c r="BZ209" s="8">
        <f t="shared" si="392"/>
        <v>64.833333333333329</v>
      </c>
      <c r="CA209" s="8">
        <f t="shared" si="392"/>
        <v>64.333333333333329</v>
      </c>
      <c r="CB209" s="8">
        <f t="shared" si="392"/>
        <v>55.5</v>
      </c>
      <c r="CC209" s="8">
        <f t="shared" si="392"/>
        <v>-344.33333333333331</v>
      </c>
      <c r="CD209" s="8">
        <f t="shared" si="392"/>
        <v>74.2</v>
      </c>
      <c r="CE209" s="8">
        <f t="shared" si="392"/>
        <v>392</v>
      </c>
      <c r="CF209" s="8">
        <f t="shared" si="392"/>
        <v>169.25</v>
      </c>
      <c r="CG209" s="8">
        <f t="shared" si="392"/>
        <v>148</v>
      </c>
      <c r="CH209" s="8">
        <f t="shared" si="392"/>
        <v>-307.2</v>
      </c>
      <c r="CI209" s="8">
        <f t="shared" si="392"/>
        <v>505.66666666666669</v>
      </c>
      <c r="CJ209" s="8">
        <f t="shared" si="392"/>
        <v>270.5</v>
      </c>
      <c r="CK209" s="8">
        <f t="shared" si="392"/>
        <v>-1663</v>
      </c>
      <c r="CL209" s="8">
        <f t="shared" si="392"/>
        <v>579.66666666666663</v>
      </c>
      <c r="CM209" s="8">
        <f t="shared" si="392"/>
        <v>1671</v>
      </c>
      <c r="CN209" s="8">
        <f t="shared" si="392"/>
        <v>-601.33333333333337</v>
      </c>
      <c r="CO209" s="8">
        <f t="shared" si="392"/>
        <v>-262</v>
      </c>
      <c r="CP209" s="8">
        <f t="shared" si="392"/>
        <v>-265.66666666666669</v>
      </c>
      <c r="CQ209" s="8">
        <f t="shared" si="392"/>
        <v>-589</v>
      </c>
      <c r="CR209" s="8">
        <f t="shared" si="392"/>
        <v>-219.4</v>
      </c>
      <c r="CS209" s="8">
        <f t="shared" si="392"/>
        <v>-143.33333333333334</v>
      </c>
      <c r="CT209" s="8"/>
      <c r="CU209" s="8">
        <f t="shared" si="392"/>
        <v>-263</v>
      </c>
      <c r="CV209" s="8" t="e">
        <f t="shared" si="392"/>
        <v>#DIV/0!</v>
      </c>
      <c r="CW209" s="8" t="e">
        <f t="shared" si="392"/>
        <v>#DIV/0!</v>
      </c>
      <c r="CX209" s="8">
        <f t="shared" si="392"/>
        <v>96</v>
      </c>
      <c r="CY209" s="8">
        <f t="shared" si="392"/>
        <v>131</v>
      </c>
    </row>
    <row r="210" spans="1:103" x14ac:dyDescent="0.3">
      <c r="A210" s="10">
        <v>2013</v>
      </c>
      <c r="B210" s="8"/>
      <c r="C210" s="8">
        <f t="shared" ref="C210:BN210" si="393">C162/C64</f>
        <v>0.28341013824884792</v>
      </c>
      <c r="D210" s="8">
        <f t="shared" si="393"/>
        <v>5.8083252662149082E-3</v>
      </c>
      <c r="E210" s="8">
        <f t="shared" si="393"/>
        <v>6.5703022339027592E-3</v>
      </c>
      <c r="F210" s="8">
        <f t="shared" si="393"/>
        <v>1.2411347517730497E-2</v>
      </c>
      <c r="G210" s="8">
        <f t="shared" si="393"/>
        <v>-5.6497175141242938E-3</v>
      </c>
      <c r="H210" s="8">
        <f t="shared" si="393"/>
        <v>2.9345372460496615E-2</v>
      </c>
      <c r="I210" s="8">
        <f t="shared" si="393"/>
        <v>8.6956521739130436E-3</v>
      </c>
      <c r="J210" s="8">
        <f t="shared" si="393"/>
        <v>2.3872679045092837E-2</v>
      </c>
      <c r="K210" s="8">
        <f t="shared" si="393"/>
        <v>4.6948356807511738E-3</v>
      </c>
      <c r="L210" s="8">
        <f t="shared" si="393"/>
        <v>2.8301886792452831E-2</v>
      </c>
      <c r="M210" s="8">
        <f t="shared" si="393"/>
        <v>-5.3333333333333332E-3</v>
      </c>
      <c r="N210" s="8">
        <f t="shared" si="393"/>
        <v>1.4388489208633094E-2</v>
      </c>
      <c r="O210" s="8">
        <f t="shared" si="393"/>
        <v>-1.9108280254777069E-2</v>
      </c>
      <c r="P210" s="8">
        <f t="shared" si="393"/>
        <v>7.575757575757576E-3</v>
      </c>
      <c r="Q210" s="8">
        <f t="shared" si="393"/>
        <v>0</v>
      </c>
      <c r="R210" s="8">
        <f t="shared" si="393"/>
        <v>1.9370460048426151E-2</v>
      </c>
      <c r="S210" s="8">
        <f t="shared" si="393"/>
        <v>-1.3232514177693762E-2</v>
      </c>
      <c r="T210" s="8">
        <f t="shared" si="393"/>
        <v>1.5570934256055362E-2</v>
      </c>
      <c r="U210" s="8">
        <f t="shared" si="393"/>
        <v>4.3314500941619587E-2</v>
      </c>
      <c r="V210" s="8">
        <f t="shared" si="393"/>
        <v>5.181347150259067E-2</v>
      </c>
      <c r="W210" s="8">
        <f t="shared" si="393"/>
        <v>-1.4950166112956811E-2</v>
      </c>
      <c r="X210" s="8">
        <f t="shared" si="393"/>
        <v>1.8411967779056387E-2</v>
      </c>
      <c r="Y210" s="8">
        <f t="shared" si="393"/>
        <v>1.3245033112582781E-2</v>
      </c>
      <c r="Z210" s="8">
        <f t="shared" si="393"/>
        <v>2.7118644067796612E-3</v>
      </c>
      <c r="AA210" s="8">
        <f t="shared" si="393"/>
        <v>2.1173623714458561E-2</v>
      </c>
      <c r="AB210" s="8">
        <f t="shared" si="393"/>
        <v>7.0778564206268957E-3</v>
      </c>
      <c r="AC210" s="8">
        <f t="shared" si="393"/>
        <v>1.5616866215512754E-2</v>
      </c>
      <c r="AD210" s="8">
        <f t="shared" si="393"/>
        <v>6.6476733143399809E-3</v>
      </c>
      <c r="AE210" s="8">
        <f t="shared" si="393"/>
        <v>9.2307692307692316E-3</v>
      </c>
      <c r="AF210" s="8">
        <f t="shared" si="393"/>
        <v>1.4420410427066E-2</v>
      </c>
      <c r="AG210" s="8">
        <f t="shared" si="393"/>
        <v>3.8607594936708858E-2</v>
      </c>
      <c r="AH210" s="8">
        <f t="shared" si="393"/>
        <v>3.6363636363636362E-2</v>
      </c>
      <c r="AI210" s="8">
        <f t="shared" si="393"/>
        <v>6.4837905236907731E-2</v>
      </c>
      <c r="AJ210" s="8">
        <f t="shared" si="393"/>
        <v>3.9439088518843118E-2</v>
      </c>
      <c r="AK210" s="8">
        <f t="shared" si="393"/>
        <v>6.0606060606060608E-2</v>
      </c>
      <c r="AL210" s="8">
        <f t="shared" si="393"/>
        <v>5.8823529411764705E-2</v>
      </c>
      <c r="AM210" s="8">
        <f t="shared" si="393"/>
        <v>6.5743944636678195E-2</v>
      </c>
      <c r="AN210" s="8">
        <f t="shared" si="393"/>
        <v>4.8843187660668377E-2</v>
      </c>
      <c r="AO210" s="8">
        <f t="shared" si="393"/>
        <v>0.10906298003072197</v>
      </c>
      <c r="AP210" s="8">
        <f t="shared" si="393"/>
        <v>9.0040927694406553E-2</v>
      </c>
      <c r="AQ210" s="8">
        <f t="shared" si="393"/>
        <v>0.12237762237762238</v>
      </c>
      <c r="AR210" s="8">
        <f t="shared" si="393"/>
        <v>0.13357400722021662</v>
      </c>
      <c r="AS210" s="8">
        <f t="shared" si="393"/>
        <v>0.19703389830508475</v>
      </c>
      <c r="AT210" s="8">
        <f t="shared" si="393"/>
        <v>0.17272727272727273</v>
      </c>
      <c r="AU210" s="8">
        <f t="shared" si="393"/>
        <v>0.30383480825958703</v>
      </c>
      <c r="AV210" s="8">
        <f t="shared" si="393"/>
        <v>0.33676975945017185</v>
      </c>
      <c r="AW210" s="8">
        <f t="shared" si="393"/>
        <v>0.42040816326530611</v>
      </c>
      <c r="AX210" s="8">
        <f t="shared" si="393"/>
        <v>0.47388059701492535</v>
      </c>
      <c r="AY210" s="8">
        <f t="shared" si="393"/>
        <v>0.63203463203463206</v>
      </c>
      <c r="AZ210" s="8">
        <f t="shared" si="393"/>
        <v>0.60180995475113119</v>
      </c>
      <c r="BA210" s="8">
        <f t="shared" si="393"/>
        <v>1.3454545454545455</v>
      </c>
      <c r="BB210" s="8">
        <f t="shared" si="393"/>
        <v>1.7037037037037037</v>
      </c>
      <c r="BC210" s="8">
        <f t="shared" si="393"/>
        <v>1.6019417475728155</v>
      </c>
      <c r="BD210" s="8">
        <f t="shared" si="393"/>
        <v>2.1443298969072164</v>
      </c>
      <c r="BE210" s="8">
        <f t="shared" si="393"/>
        <v>2.4329896907216493</v>
      </c>
      <c r="BF210" s="8">
        <f t="shared" si="393"/>
        <v>3.893939393939394</v>
      </c>
      <c r="BG210" s="8">
        <f t="shared" si="393"/>
        <v>13.611111111111111</v>
      </c>
      <c r="BH210" s="8">
        <f t="shared" si="393"/>
        <v>-23.923076923076923</v>
      </c>
      <c r="BI210" s="8"/>
      <c r="BJ210" s="8">
        <f t="shared" si="393"/>
        <v>9</v>
      </c>
      <c r="BK210" s="8">
        <f t="shared" si="393"/>
        <v>-16.857142857142858</v>
      </c>
      <c r="BL210" s="8">
        <f t="shared" si="393"/>
        <v>-41.222222222222221</v>
      </c>
      <c r="BM210" s="8">
        <f t="shared" si="393"/>
        <v>-30.533333333333335</v>
      </c>
      <c r="BN210" s="8">
        <f t="shared" si="393"/>
        <v>-49.111111111111114</v>
      </c>
      <c r="BO210" s="8">
        <f t="shared" ref="BO210:CY210" si="394">BO162/BO64</f>
        <v>-15.575757575757576</v>
      </c>
      <c r="BP210" s="8">
        <f t="shared" si="394"/>
        <v>79.714285714285708</v>
      </c>
      <c r="BQ210" s="8">
        <f t="shared" si="394"/>
        <v>-98.571428571428569</v>
      </c>
      <c r="BR210" s="8">
        <f t="shared" si="394"/>
        <v>-108</v>
      </c>
      <c r="BS210" s="8">
        <f t="shared" si="394"/>
        <v>-18.432432432432432</v>
      </c>
      <c r="BT210" s="8">
        <f t="shared" si="394"/>
        <v>-33.368421052631582</v>
      </c>
      <c r="BU210" s="8">
        <f t="shared" si="394"/>
        <v>75</v>
      </c>
      <c r="BV210" s="8">
        <f t="shared" si="394"/>
        <v>19.741935483870968</v>
      </c>
      <c r="BW210" s="8">
        <f t="shared" si="394"/>
        <v>-133.6</v>
      </c>
      <c r="BX210" s="8">
        <f t="shared" si="394"/>
        <v>75.400000000000006</v>
      </c>
      <c r="BY210" s="8">
        <f t="shared" si="394"/>
        <v>767</v>
      </c>
      <c r="BZ210" s="8">
        <f t="shared" si="394"/>
        <v>258.33333333333331</v>
      </c>
      <c r="CA210" s="8">
        <f t="shared" si="394"/>
        <v>73.166666666666671</v>
      </c>
      <c r="CB210" s="8">
        <f t="shared" si="394"/>
        <v>-67.461538461538467</v>
      </c>
      <c r="CC210" s="8">
        <f t="shared" si="394"/>
        <v>138.14285714285714</v>
      </c>
      <c r="CD210" s="8">
        <f t="shared" si="394"/>
        <v>171.66666666666666</v>
      </c>
      <c r="CE210" s="8">
        <f t="shared" si="394"/>
        <v>173.14285714285714</v>
      </c>
      <c r="CF210" s="8">
        <f t="shared" si="394"/>
        <v>324.25</v>
      </c>
      <c r="CG210" s="8">
        <f t="shared" si="394"/>
        <v>189</v>
      </c>
      <c r="CH210" s="8">
        <f t="shared" si="394"/>
        <v>233.16666666666666</v>
      </c>
      <c r="CI210" s="8">
        <f t="shared" si="394"/>
        <v>-782</v>
      </c>
      <c r="CJ210" s="8">
        <f t="shared" si="394"/>
        <v>-194.625</v>
      </c>
      <c r="CK210" s="8">
        <f t="shared" si="394"/>
        <v>-1659</v>
      </c>
      <c r="CL210" s="8">
        <f t="shared" si="394"/>
        <v>269.16666666666669</v>
      </c>
      <c r="CM210" s="8">
        <f t="shared" si="394"/>
        <v>-1629</v>
      </c>
      <c r="CN210" s="8"/>
      <c r="CO210" s="8">
        <f t="shared" si="394"/>
        <v>-759.5</v>
      </c>
      <c r="CP210" s="8">
        <f t="shared" si="394"/>
        <v>-468.66666666666669</v>
      </c>
      <c r="CQ210" s="8">
        <f t="shared" si="394"/>
        <v>-1341</v>
      </c>
      <c r="CR210" s="8"/>
      <c r="CS210" s="8">
        <f t="shared" si="394"/>
        <v>-901</v>
      </c>
      <c r="CT210" s="8">
        <f t="shared" si="394"/>
        <v>-237.33333333333334</v>
      </c>
      <c r="CU210" s="8"/>
      <c r="CV210" s="8">
        <f t="shared" si="394"/>
        <v>394</v>
      </c>
      <c r="CW210" s="8">
        <f t="shared" si="394"/>
        <v>-247</v>
      </c>
      <c r="CX210" s="8" t="e">
        <f t="shared" si="394"/>
        <v>#DIV/0!</v>
      </c>
      <c r="CY210" s="8">
        <f t="shared" si="394"/>
        <v>132</v>
      </c>
    </row>
    <row r="211" spans="1:103" x14ac:dyDescent="0.3">
      <c r="A211" s="10">
        <v>2014</v>
      </c>
      <c r="B211" s="8"/>
      <c r="C211" s="8">
        <f t="shared" ref="C211:BN211" si="395">C163/C65</f>
        <v>0.28947368421052633</v>
      </c>
      <c r="D211" s="8">
        <f t="shared" si="395"/>
        <v>2.2099447513812154E-2</v>
      </c>
      <c r="E211" s="8">
        <f t="shared" si="395"/>
        <v>7.5414781297134239E-3</v>
      </c>
      <c r="F211" s="8">
        <f t="shared" si="395"/>
        <v>1.0141987829614604E-2</v>
      </c>
      <c r="G211" s="8">
        <f t="shared" si="395"/>
        <v>2.8795811518324606E-2</v>
      </c>
      <c r="H211" s="8">
        <f t="shared" si="395"/>
        <v>7.4999999999999997E-3</v>
      </c>
      <c r="I211" s="8">
        <f t="shared" si="395"/>
        <v>1.4619883040935672E-2</v>
      </c>
      <c r="J211" s="8">
        <f t="shared" si="395"/>
        <v>2.2792022792022793E-2</v>
      </c>
      <c r="K211" s="8">
        <f t="shared" si="395"/>
        <v>-1.7543859649122806E-2</v>
      </c>
      <c r="L211" s="8">
        <f t="shared" si="395"/>
        <v>2.8169014084507044E-3</v>
      </c>
      <c r="M211" s="8">
        <f t="shared" si="395"/>
        <v>1.5060240963855422E-2</v>
      </c>
      <c r="N211" s="8">
        <f t="shared" si="395"/>
        <v>1.9337016574585635E-2</v>
      </c>
      <c r="O211" s="8">
        <f t="shared" si="395"/>
        <v>-2.7855153203342618E-3</v>
      </c>
      <c r="P211" s="8">
        <f t="shared" si="395"/>
        <v>2.7027027027027029E-2</v>
      </c>
      <c r="Q211" s="8">
        <f t="shared" si="395"/>
        <v>3.2697547683923703E-2</v>
      </c>
      <c r="R211" s="8">
        <f t="shared" si="395"/>
        <v>2.7848101265822784E-2</v>
      </c>
      <c r="S211" s="8">
        <f t="shared" si="395"/>
        <v>1.2307692307692308E-2</v>
      </c>
      <c r="T211" s="8">
        <f t="shared" si="395"/>
        <v>4.8780487804878049E-3</v>
      </c>
      <c r="U211" s="8">
        <f t="shared" si="395"/>
        <v>4.0322580645161289E-3</v>
      </c>
      <c r="V211" s="8">
        <f t="shared" si="395"/>
        <v>3.7478705281090291E-2</v>
      </c>
      <c r="W211" s="8">
        <f t="shared" si="395"/>
        <v>1.0416666666666666E-2</v>
      </c>
      <c r="X211" s="8">
        <f t="shared" si="395"/>
        <v>2.9779058597502402E-2</v>
      </c>
      <c r="Y211" s="8">
        <f t="shared" si="395"/>
        <v>-4.6125461254612546E-3</v>
      </c>
      <c r="Z211" s="8">
        <f t="shared" si="395"/>
        <v>1.9145802650957292E-2</v>
      </c>
      <c r="AA211" s="8">
        <f t="shared" si="395"/>
        <v>1.6284680337756333E-2</v>
      </c>
      <c r="AB211" s="8">
        <f t="shared" si="395"/>
        <v>5.6876938986556358E-3</v>
      </c>
      <c r="AC211" s="8">
        <f t="shared" si="395"/>
        <v>4.3668122270742356E-3</v>
      </c>
      <c r="AD211" s="8">
        <f t="shared" si="395"/>
        <v>3.1561461794019932E-2</v>
      </c>
      <c r="AE211" s="8">
        <f t="shared" si="395"/>
        <v>4.5688178183894918E-3</v>
      </c>
      <c r="AF211" s="8">
        <f t="shared" si="395"/>
        <v>1.9218846869187848E-2</v>
      </c>
      <c r="AG211" s="8">
        <f t="shared" si="395"/>
        <v>2.6817219477769938E-2</v>
      </c>
      <c r="AH211" s="8">
        <f t="shared" si="395"/>
        <v>5.8008658008658009E-2</v>
      </c>
      <c r="AI211" s="8">
        <f t="shared" si="395"/>
        <v>5.5555555555555552E-2</v>
      </c>
      <c r="AJ211" s="8">
        <f t="shared" si="395"/>
        <v>2.1999999999999999E-2</v>
      </c>
      <c r="AK211" s="8">
        <f t="shared" si="395"/>
        <v>6.9444444444444448E-2</v>
      </c>
      <c r="AL211" s="8">
        <f t="shared" si="395"/>
        <v>5.434782608695652E-2</v>
      </c>
      <c r="AM211" s="8">
        <f t="shared" si="395"/>
        <v>4.6272493573264781E-2</v>
      </c>
      <c r="AN211" s="8">
        <f t="shared" si="395"/>
        <v>8.1288343558282211E-2</v>
      </c>
      <c r="AO211" s="8">
        <f t="shared" si="395"/>
        <v>9.2866756393001348E-2</v>
      </c>
      <c r="AP211" s="8">
        <f t="shared" si="395"/>
        <v>0.10950080515297907</v>
      </c>
      <c r="AQ211" s="8">
        <f t="shared" si="395"/>
        <v>8.4380610412926396E-2</v>
      </c>
      <c r="AR211" s="8">
        <f t="shared" si="395"/>
        <v>0.11422845691382766</v>
      </c>
      <c r="AS211" s="8">
        <f t="shared" si="395"/>
        <v>0.16703296703296702</v>
      </c>
      <c r="AT211" s="8">
        <f t="shared" si="395"/>
        <v>0.19387755102040816</v>
      </c>
      <c r="AU211" s="8">
        <f t="shared" si="395"/>
        <v>0.28059701492537314</v>
      </c>
      <c r="AV211" s="8">
        <f t="shared" si="395"/>
        <v>0.30792682926829268</v>
      </c>
      <c r="AW211" s="8">
        <f t="shared" si="395"/>
        <v>0.41558441558441561</v>
      </c>
      <c r="AX211" s="8">
        <f t="shared" si="395"/>
        <v>0.38047138047138046</v>
      </c>
      <c r="AY211" s="8">
        <f t="shared" si="395"/>
        <v>0.55411255411255411</v>
      </c>
      <c r="AZ211" s="8">
        <f t="shared" si="395"/>
        <v>0.84408602150537637</v>
      </c>
      <c r="BA211" s="8">
        <f t="shared" si="395"/>
        <v>0.81666666666666665</v>
      </c>
      <c r="BB211" s="8">
        <f t="shared" si="395"/>
        <v>1.255639097744361</v>
      </c>
      <c r="BC211" s="8">
        <f t="shared" si="395"/>
        <v>1.596774193548387</v>
      </c>
      <c r="BD211" s="8">
        <f t="shared" si="395"/>
        <v>1.7413793103448276</v>
      </c>
      <c r="BE211" s="8">
        <f t="shared" si="395"/>
        <v>2.3076923076923075</v>
      </c>
      <c r="BF211" s="8">
        <f t="shared" si="395"/>
        <v>3.1081081081081079</v>
      </c>
      <c r="BG211" s="8">
        <f t="shared" si="395"/>
        <v>4.6721311475409832</v>
      </c>
      <c r="BH211" s="8">
        <f t="shared" si="395"/>
        <v>6.7105263157894735</v>
      </c>
      <c r="BI211" s="8">
        <f t="shared" si="395"/>
        <v>22.25</v>
      </c>
      <c r="BJ211" s="8">
        <f t="shared" si="395"/>
        <v>6.6956521739130439</v>
      </c>
      <c r="BK211" s="8">
        <f t="shared" si="395"/>
        <v>15.782608695652174</v>
      </c>
      <c r="BL211" s="8">
        <f t="shared" si="395"/>
        <v>9.4324324324324316</v>
      </c>
      <c r="BM211" s="8">
        <f t="shared" si="395"/>
        <v>-80.599999999999994</v>
      </c>
      <c r="BN211" s="8">
        <f t="shared" si="395"/>
        <v>-42.3</v>
      </c>
      <c r="BO211" s="8">
        <f t="shared" ref="BO211:CY211" si="396">BO163/BO65</f>
        <v>114.25</v>
      </c>
      <c r="BP211" s="8">
        <f t="shared" si="396"/>
        <v>-22.23076923076923</v>
      </c>
      <c r="BQ211" s="8">
        <f t="shared" si="396"/>
        <v>116</v>
      </c>
      <c r="BR211" s="8">
        <f t="shared" si="396"/>
        <v>-42.9375</v>
      </c>
      <c r="BS211" s="8">
        <f t="shared" si="396"/>
        <v>-111.33333333333333</v>
      </c>
      <c r="BT211" s="8">
        <f t="shared" si="396"/>
        <v>97</v>
      </c>
      <c r="BU211" s="8">
        <f t="shared" si="396"/>
        <v>-94</v>
      </c>
      <c r="BV211" s="8">
        <f t="shared" si="396"/>
        <v>218.33333333333334</v>
      </c>
      <c r="BW211" s="8">
        <f t="shared" si="396"/>
        <v>45.214285714285715</v>
      </c>
      <c r="BX211" s="8">
        <f t="shared" si="396"/>
        <v>81.444444444444443</v>
      </c>
      <c r="BY211" s="8">
        <f t="shared" si="396"/>
        <v>92.375</v>
      </c>
      <c r="BZ211" s="8">
        <f t="shared" si="396"/>
        <v>39.761904761904759</v>
      </c>
      <c r="CA211" s="8">
        <f t="shared" si="396"/>
        <v>104.75</v>
      </c>
      <c r="CB211" s="8">
        <f t="shared" si="396"/>
        <v>26.727272727272727</v>
      </c>
      <c r="CC211" s="8">
        <f t="shared" si="396"/>
        <v>54.875</v>
      </c>
      <c r="CD211" s="8">
        <f t="shared" si="396"/>
        <v>89.272727272727266</v>
      </c>
      <c r="CE211" s="8">
        <f t="shared" si="396"/>
        <v>65.058823529411768</v>
      </c>
      <c r="CF211" s="8">
        <f t="shared" si="396"/>
        <v>173.85714285714286</v>
      </c>
      <c r="CG211" s="8">
        <f t="shared" si="396"/>
        <v>164.625</v>
      </c>
      <c r="CH211" s="8">
        <f t="shared" si="396"/>
        <v>-1381</v>
      </c>
      <c r="CI211" s="8">
        <f t="shared" si="396"/>
        <v>245.83333333333334</v>
      </c>
      <c r="CJ211" s="8">
        <f t="shared" si="396"/>
        <v>251.16666666666666</v>
      </c>
      <c r="CK211" s="8"/>
      <c r="CL211" s="8">
        <f t="shared" si="396"/>
        <v>1624</v>
      </c>
      <c r="CM211" s="8">
        <f t="shared" si="396"/>
        <v>256.5</v>
      </c>
      <c r="CN211" s="8">
        <f t="shared" si="396"/>
        <v>528</v>
      </c>
      <c r="CO211" s="8">
        <f t="shared" si="396"/>
        <v>-1638</v>
      </c>
      <c r="CP211" s="8">
        <f t="shared" si="396"/>
        <v>356.5</v>
      </c>
      <c r="CQ211" s="8">
        <f t="shared" si="396"/>
        <v>431</v>
      </c>
      <c r="CR211" s="8">
        <f t="shared" si="396"/>
        <v>-1196</v>
      </c>
      <c r="CS211" s="8"/>
      <c r="CT211" s="8">
        <f t="shared" si="396"/>
        <v>-695</v>
      </c>
      <c r="CU211" s="8"/>
      <c r="CV211" s="8" t="e">
        <f t="shared" si="396"/>
        <v>#DIV/0!</v>
      </c>
      <c r="CW211" s="8" t="e">
        <f t="shared" si="396"/>
        <v>#DIV/0!</v>
      </c>
      <c r="CX211" s="8" t="e">
        <f t="shared" si="396"/>
        <v>#DIV/0!</v>
      </c>
      <c r="CY211" s="8" t="e">
        <f t="shared" si="396"/>
        <v>#DIV/0!</v>
      </c>
    </row>
    <row r="212" spans="1:103" x14ac:dyDescent="0.3">
      <c r="A212" s="10">
        <v>2015</v>
      </c>
      <c r="B212" s="8"/>
      <c r="C212" s="8">
        <f t="shared" ref="C212:BN212" si="397">C164/C66</f>
        <v>0.23732718894009217</v>
      </c>
      <c r="D212" s="8">
        <f t="shared" si="397"/>
        <v>1.6029593094944512E-2</v>
      </c>
      <c r="E212" s="8">
        <f t="shared" si="397"/>
        <v>-1.6042780748663103E-2</v>
      </c>
      <c r="F212" s="8">
        <f t="shared" si="397"/>
        <v>1.0526315789473684E-2</v>
      </c>
      <c r="G212" s="8">
        <f t="shared" si="397"/>
        <v>4.1533546325878593E-2</v>
      </c>
      <c r="H212" s="8">
        <f t="shared" si="397"/>
        <v>-1.3297872340425532E-2</v>
      </c>
      <c r="I212" s="8">
        <f t="shared" si="397"/>
        <v>4.40251572327044E-2</v>
      </c>
      <c r="J212" s="8">
        <f t="shared" si="397"/>
        <v>4.9875311720698253E-3</v>
      </c>
      <c r="K212" s="8">
        <f t="shared" si="397"/>
        <v>7.462686567164179E-3</v>
      </c>
      <c r="L212" s="8">
        <f t="shared" si="397"/>
        <v>4.830917874396135E-3</v>
      </c>
      <c r="M212" s="8">
        <f t="shared" si="397"/>
        <v>2.0449897750511249E-3</v>
      </c>
      <c r="N212" s="8">
        <f t="shared" si="397"/>
        <v>8.8105726872246704E-3</v>
      </c>
      <c r="O212" s="8">
        <f t="shared" si="397"/>
        <v>-4.9875311720698253E-3</v>
      </c>
      <c r="P212" s="8">
        <f t="shared" si="397"/>
        <v>2.6785714285714284E-2</v>
      </c>
      <c r="Q212" s="8">
        <f t="shared" si="397"/>
        <v>1.0373443983402489E-2</v>
      </c>
      <c r="R212" s="8">
        <f t="shared" si="397"/>
        <v>-5.415162454873646E-3</v>
      </c>
      <c r="S212" s="8">
        <f t="shared" si="397"/>
        <v>-9.6685082872928173E-3</v>
      </c>
      <c r="T212" s="8">
        <f t="shared" si="397"/>
        <v>1.6107382550335572E-2</v>
      </c>
      <c r="U212" s="8">
        <f t="shared" si="397"/>
        <v>3.653846153846154E-2</v>
      </c>
      <c r="V212" s="8">
        <f t="shared" si="397"/>
        <v>3.4836065573770489E-2</v>
      </c>
      <c r="W212" s="8">
        <f t="shared" si="397"/>
        <v>1.9819819819819819E-2</v>
      </c>
      <c r="X212" s="8">
        <f t="shared" si="397"/>
        <v>1.4304291287386216E-2</v>
      </c>
      <c r="Y212" s="8">
        <f t="shared" si="397"/>
        <v>2.9525032092426188E-2</v>
      </c>
      <c r="Z212" s="8">
        <f t="shared" si="397"/>
        <v>1.0119595216191352E-2</v>
      </c>
      <c r="AA212" s="8">
        <f t="shared" si="397"/>
        <v>4.6772684752104769E-3</v>
      </c>
      <c r="AB212" s="8">
        <f t="shared" si="397"/>
        <v>5.6100981767180924E-3</v>
      </c>
      <c r="AC212" s="8">
        <f t="shared" si="397"/>
        <v>2.1373056994818652E-2</v>
      </c>
      <c r="AD212" s="8">
        <f t="shared" si="397"/>
        <v>2.6086956521739129E-2</v>
      </c>
      <c r="AE212" s="8">
        <f t="shared" si="397"/>
        <v>2.0618556701030927E-2</v>
      </c>
      <c r="AF212" s="8">
        <f t="shared" si="397"/>
        <v>2.8524857375713121E-2</v>
      </c>
      <c r="AG212" s="8">
        <f t="shared" si="397"/>
        <v>4.2884990253411304E-2</v>
      </c>
      <c r="AH212" s="8">
        <f t="shared" si="397"/>
        <v>3.1425364758698095E-2</v>
      </c>
      <c r="AI212" s="8">
        <f t="shared" si="397"/>
        <v>0.13530326594090203</v>
      </c>
      <c r="AJ212" s="8">
        <f t="shared" si="397"/>
        <v>6.9986541049798109E-2</v>
      </c>
      <c r="AK212" s="8">
        <f t="shared" si="397"/>
        <v>5.8407079646017698E-2</v>
      </c>
      <c r="AL212" s="8">
        <f t="shared" si="397"/>
        <v>7.3134328358208961E-2</v>
      </c>
      <c r="AM212" s="8">
        <f t="shared" si="397"/>
        <v>5.845511482254697E-2</v>
      </c>
      <c r="AN212" s="8">
        <f t="shared" si="397"/>
        <v>7.7946768060836502E-2</v>
      </c>
      <c r="AO212" s="8">
        <f t="shared" si="397"/>
        <v>0.11389521640091116</v>
      </c>
      <c r="AP212" s="8">
        <f t="shared" si="397"/>
        <v>0.16284987277353691</v>
      </c>
      <c r="AQ212" s="8">
        <f t="shared" si="397"/>
        <v>0.15962441314553991</v>
      </c>
      <c r="AR212" s="8">
        <f t="shared" si="397"/>
        <v>0.11750599520383694</v>
      </c>
      <c r="AS212" s="8">
        <f t="shared" si="397"/>
        <v>0.25412541254125415</v>
      </c>
      <c r="AT212" s="8">
        <f t="shared" si="397"/>
        <v>0.21835443037974683</v>
      </c>
      <c r="AU212" s="8">
        <f t="shared" si="397"/>
        <v>0.38812785388127852</v>
      </c>
      <c r="AV212" s="8">
        <f t="shared" si="397"/>
        <v>0.40625</v>
      </c>
      <c r="AW212" s="8">
        <f t="shared" si="397"/>
        <v>0.52331606217616577</v>
      </c>
      <c r="AX212" s="8">
        <f t="shared" si="397"/>
        <v>0.62130177514792895</v>
      </c>
      <c r="AY212" s="8">
        <f t="shared" si="397"/>
        <v>0.9140625</v>
      </c>
      <c r="AZ212" s="8">
        <f t="shared" si="397"/>
        <v>1.6547619047619047</v>
      </c>
      <c r="BA212" s="8">
        <f t="shared" si="397"/>
        <v>1.4</v>
      </c>
      <c r="BB212" s="8">
        <f t="shared" si="397"/>
        <v>4.387096774193548</v>
      </c>
      <c r="BC212" s="8">
        <f t="shared" si="397"/>
        <v>2.6388888888888888</v>
      </c>
      <c r="BD212" s="8">
        <f t="shared" si="397"/>
        <v>2.8333333333333335</v>
      </c>
      <c r="BE212" s="8">
        <f t="shared" si="397"/>
        <v>10.142857142857142</v>
      </c>
      <c r="BF212" s="8">
        <f t="shared" si="397"/>
        <v>8.7931034482758612</v>
      </c>
      <c r="BG212" s="8">
        <f t="shared" si="397"/>
        <v>-6.4705882352941178</v>
      </c>
      <c r="BH212" s="8">
        <f t="shared" si="397"/>
        <v>88.333333333333329</v>
      </c>
      <c r="BI212" s="8">
        <f t="shared" si="397"/>
        <v>-24.363636363636363</v>
      </c>
      <c r="BJ212" s="8">
        <f t="shared" si="397"/>
        <v>-20.117647058823529</v>
      </c>
      <c r="BK212" s="8">
        <f t="shared" si="397"/>
        <v>-14.181818181818182</v>
      </c>
      <c r="BL212" s="8">
        <f t="shared" si="397"/>
        <v>-13.15625</v>
      </c>
      <c r="BM212" s="8">
        <f t="shared" si="397"/>
        <v>-9.9210526315789469</v>
      </c>
      <c r="BN212" s="8">
        <f t="shared" si="397"/>
        <v>-7.0701754385964914</v>
      </c>
      <c r="BO212" s="8">
        <f t="shared" ref="BO212:CY212" si="398">BO164/BO66</f>
        <v>-10.536585365853659</v>
      </c>
      <c r="BP212" s="8">
        <f t="shared" si="398"/>
        <v>-17.214285714285715</v>
      </c>
      <c r="BQ212" s="8">
        <f t="shared" si="398"/>
        <v>-31.411764705882351</v>
      </c>
      <c r="BR212" s="8">
        <f t="shared" si="398"/>
        <v>-17.416666666666668</v>
      </c>
      <c r="BS212" s="8">
        <f t="shared" si="398"/>
        <v>-34.409090909090907</v>
      </c>
      <c r="BT212" s="8"/>
      <c r="BU212" s="8">
        <f t="shared" si="398"/>
        <v>-126.16666666666667</v>
      </c>
      <c r="BV212" s="8">
        <f t="shared" si="398"/>
        <v>44.6875</v>
      </c>
      <c r="BW212" s="8">
        <f t="shared" si="398"/>
        <v>76.777777777777771</v>
      </c>
      <c r="BX212" s="8">
        <f t="shared" si="398"/>
        <v>36</v>
      </c>
      <c r="BY212" s="8">
        <f t="shared" si="398"/>
        <v>26.724137931034484</v>
      </c>
      <c r="BZ212" s="8">
        <f t="shared" si="398"/>
        <v>39.61904761904762</v>
      </c>
      <c r="CA212" s="8">
        <f t="shared" si="398"/>
        <v>62.357142857142854</v>
      </c>
      <c r="CB212" s="8">
        <f t="shared" si="398"/>
        <v>46.94736842105263</v>
      </c>
      <c r="CC212" s="8">
        <f t="shared" si="398"/>
        <v>309.33333333333331</v>
      </c>
      <c r="CD212" s="8">
        <f t="shared" si="398"/>
        <v>125.375</v>
      </c>
      <c r="CE212" s="8">
        <f t="shared" si="398"/>
        <v>152.14285714285714</v>
      </c>
      <c r="CF212" s="8">
        <f t="shared" si="398"/>
        <v>113.5</v>
      </c>
      <c r="CG212" s="8">
        <f t="shared" si="398"/>
        <v>170.75</v>
      </c>
      <c r="CH212" s="8">
        <f t="shared" si="398"/>
        <v>169.25</v>
      </c>
      <c r="CI212" s="8">
        <f t="shared" si="398"/>
        <v>292.39999999999998</v>
      </c>
      <c r="CJ212" s="8">
        <f t="shared" si="398"/>
        <v>1469</v>
      </c>
      <c r="CK212" s="8">
        <f t="shared" si="398"/>
        <v>223.14285714285714</v>
      </c>
      <c r="CL212" s="8">
        <f t="shared" si="398"/>
        <v>756.5</v>
      </c>
      <c r="CM212" s="8">
        <f t="shared" si="398"/>
        <v>1593</v>
      </c>
      <c r="CN212" s="8"/>
      <c r="CO212" s="8"/>
      <c r="CP212" s="8">
        <f t="shared" si="398"/>
        <v>-497</v>
      </c>
      <c r="CQ212" s="8">
        <f t="shared" si="398"/>
        <v>-670.5</v>
      </c>
      <c r="CR212" s="8">
        <f t="shared" si="398"/>
        <v>-1192</v>
      </c>
      <c r="CS212" s="8"/>
      <c r="CT212" s="8">
        <f t="shared" si="398"/>
        <v>685</v>
      </c>
      <c r="CU212" s="8">
        <f t="shared" si="398"/>
        <v>203.66666666666666</v>
      </c>
      <c r="CV212" s="8">
        <f t="shared" si="398"/>
        <v>461</v>
      </c>
      <c r="CW212" s="8" t="e">
        <f t="shared" si="398"/>
        <v>#DIV/0!</v>
      </c>
      <c r="CX212" s="8" t="e">
        <f t="shared" si="398"/>
        <v>#DIV/0!</v>
      </c>
      <c r="CY212" s="8">
        <f t="shared" si="398"/>
        <v>139</v>
      </c>
    </row>
    <row r="213" spans="1:103" x14ac:dyDescent="0.3">
      <c r="A213" s="10">
        <v>2016</v>
      </c>
      <c r="B213" s="8"/>
      <c r="C213" s="8">
        <f t="shared" ref="C213:BN213" si="399">C165/C67</f>
        <v>0.24361493123772102</v>
      </c>
      <c r="D213" s="8">
        <f t="shared" si="399"/>
        <v>1.7857142857142856E-2</v>
      </c>
      <c r="E213" s="8">
        <f t="shared" si="399"/>
        <v>-4.048582995951417E-3</v>
      </c>
      <c r="F213" s="8">
        <f t="shared" si="399"/>
        <v>2.8818443804034581E-2</v>
      </c>
      <c r="G213" s="8">
        <f t="shared" si="399"/>
        <v>3.125E-2</v>
      </c>
      <c r="H213" s="8">
        <f t="shared" si="399"/>
        <v>-9.74025974025974E-3</v>
      </c>
      <c r="I213" s="8">
        <f t="shared" si="399"/>
        <v>4.8387096774193547E-2</v>
      </c>
      <c r="J213" s="8">
        <f t="shared" si="399"/>
        <v>3.0588235294117649E-2</v>
      </c>
      <c r="K213" s="8">
        <f t="shared" si="399"/>
        <v>-6.6666666666666671E-3</v>
      </c>
      <c r="L213" s="8">
        <f t="shared" si="399"/>
        <v>2.4154589371980676E-2</v>
      </c>
      <c r="M213" s="8">
        <f t="shared" si="399"/>
        <v>2.2026431718061676E-3</v>
      </c>
      <c r="N213" s="8">
        <f t="shared" si="399"/>
        <v>2.6378896882494004E-2</v>
      </c>
      <c r="O213" s="8">
        <f t="shared" si="399"/>
        <v>8.4925690021231421E-3</v>
      </c>
      <c r="P213" s="8">
        <f t="shared" si="399"/>
        <v>-1.1695906432748537E-2</v>
      </c>
      <c r="Q213" s="8">
        <f t="shared" si="399"/>
        <v>5.5555555555555552E-2</v>
      </c>
      <c r="R213" s="8">
        <f t="shared" si="399"/>
        <v>-3.9787798408488064E-3</v>
      </c>
      <c r="S213" s="8">
        <f t="shared" si="399"/>
        <v>7.1501532175689483E-3</v>
      </c>
      <c r="T213" s="8">
        <f t="shared" si="399"/>
        <v>6.923837784371909E-3</v>
      </c>
      <c r="U213" s="8">
        <f t="shared" si="399"/>
        <v>2.3004059539918808E-2</v>
      </c>
      <c r="V213" s="8">
        <f t="shared" si="399"/>
        <v>0</v>
      </c>
      <c r="W213" s="8">
        <f t="shared" si="399"/>
        <v>2.8571428571428571E-2</v>
      </c>
      <c r="X213" s="8">
        <f t="shared" si="399"/>
        <v>0</v>
      </c>
      <c r="Y213" s="8">
        <f t="shared" si="399"/>
        <v>3.3557046979865771E-3</v>
      </c>
      <c r="Z213" s="8">
        <f t="shared" si="399"/>
        <v>2.5183630640083946E-2</v>
      </c>
      <c r="AA213" s="8">
        <f t="shared" si="399"/>
        <v>1.0849909584086799E-2</v>
      </c>
      <c r="AB213" s="8">
        <f t="shared" si="399"/>
        <v>1.8867924528301886E-2</v>
      </c>
      <c r="AC213" s="8">
        <f t="shared" si="399"/>
        <v>1.6091954022988506E-2</v>
      </c>
      <c r="AD213" s="8">
        <f t="shared" si="399"/>
        <v>3.1578947368421054E-2</v>
      </c>
      <c r="AE213" s="8">
        <f t="shared" si="399"/>
        <v>9.6339113680154141E-4</v>
      </c>
      <c r="AF213" s="8">
        <f t="shared" si="399"/>
        <v>4.5402951191827468E-2</v>
      </c>
      <c r="AG213" s="8">
        <f t="shared" si="399"/>
        <v>2.0408163265306121E-2</v>
      </c>
      <c r="AH213" s="8">
        <f t="shared" si="399"/>
        <v>0.1678082191780822</v>
      </c>
      <c r="AI213" s="8">
        <f t="shared" si="399"/>
        <v>6.8904593639575976E-2</v>
      </c>
      <c r="AJ213" s="8">
        <f t="shared" si="399"/>
        <v>0.10975609756097561</v>
      </c>
      <c r="AK213" s="8">
        <f t="shared" si="399"/>
        <v>0.15987460815047022</v>
      </c>
      <c r="AL213" s="8">
        <f t="shared" si="399"/>
        <v>0.23963133640552994</v>
      </c>
      <c r="AM213" s="8">
        <f t="shared" si="399"/>
        <v>6.3926940639269403E-2</v>
      </c>
      <c r="AN213" s="8">
        <f t="shared" si="399"/>
        <v>0.17883211678832117</v>
      </c>
      <c r="AO213" s="8">
        <f t="shared" si="399"/>
        <v>0.18333333333333332</v>
      </c>
      <c r="AP213" s="8">
        <f t="shared" si="399"/>
        <v>0.15918367346938775</v>
      </c>
      <c r="AQ213" s="8">
        <f t="shared" si="399"/>
        <v>0.3473053892215569</v>
      </c>
      <c r="AR213" s="8">
        <f t="shared" si="399"/>
        <v>0.43670886075949367</v>
      </c>
      <c r="AS213" s="8">
        <f t="shared" si="399"/>
        <v>0.42553191489361702</v>
      </c>
      <c r="AT213" s="8">
        <f t="shared" si="399"/>
        <v>0.38750000000000001</v>
      </c>
      <c r="AU213" s="8">
        <f t="shared" si="399"/>
        <v>0.69784172661870503</v>
      </c>
      <c r="AV213" s="8">
        <f t="shared" si="399"/>
        <v>0.81132075471698117</v>
      </c>
      <c r="AW213" s="8">
        <f t="shared" si="399"/>
        <v>0.82644628099173556</v>
      </c>
      <c r="AX213" s="8">
        <f t="shared" si="399"/>
        <v>2.8139534883720931</v>
      </c>
      <c r="AY213" s="8">
        <f t="shared" si="399"/>
        <v>0.9642857142857143</v>
      </c>
      <c r="AZ213" s="8">
        <f t="shared" si="399"/>
        <v>3.1794871794871793</v>
      </c>
      <c r="BA213" s="8">
        <f t="shared" si="399"/>
        <v>2.2857142857142856</v>
      </c>
      <c r="BB213" s="8">
        <f t="shared" si="399"/>
        <v>7.4347826086956523</v>
      </c>
      <c r="BC213" s="8">
        <f t="shared" si="399"/>
        <v>9.4210526315789469</v>
      </c>
      <c r="BD213" s="8">
        <f t="shared" si="399"/>
        <v>-10.611111111111111</v>
      </c>
      <c r="BE213" s="8">
        <f t="shared" si="399"/>
        <v>-5.4857142857142858</v>
      </c>
      <c r="BF213" s="8">
        <f t="shared" si="399"/>
        <v>-16.53846153846154</v>
      </c>
      <c r="BG213" s="8">
        <f t="shared" si="399"/>
        <v>-17.46153846153846</v>
      </c>
      <c r="BH213" s="8">
        <f t="shared" si="399"/>
        <v>-6.6046511627906979</v>
      </c>
      <c r="BI213" s="8">
        <f t="shared" si="399"/>
        <v>-29.8</v>
      </c>
      <c r="BJ213" s="8">
        <f t="shared" si="399"/>
        <v>-9.0303030303030312</v>
      </c>
      <c r="BK213" s="8">
        <f t="shared" si="399"/>
        <v>-19.388888888888889</v>
      </c>
      <c r="BL213" s="8">
        <f t="shared" si="399"/>
        <v>-8.2608695652173907</v>
      </c>
      <c r="BM213" s="8">
        <f t="shared" si="399"/>
        <v>-7.6111111111111107</v>
      </c>
      <c r="BN213" s="8">
        <f t="shared" si="399"/>
        <v>-6.8166666666666664</v>
      </c>
      <c r="BO213" s="8">
        <f t="shared" ref="BO213:CY213" si="400">BO165/BO67</f>
        <v>-15.862068965517242</v>
      </c>
      <c r="BP213" s="8">
        <f t="shared" si="400"/>
        <v>-12.159090909090908</v>
      </c>
      <c r="BQ213" s="8">
        <f t="shared" si="400"/>
        <v>-93.666666666666671</v>
      </c>
      <c r="BR213" s="8">
        <f t="shared" si="400"/>
        <v>-18.117647058823529</v>
      </c>
      <c r="BS213" s="8">
        <f t="shared" si="400"/>
        <v>-22.966666666666665</v>
      </c>
      <c r="BT213" s="8">
        <f t="shared" si="400"/>
        <v>395.5</v>
      </c>
      <c r="BU213" s="8">
        <f t="shared" si="400"/>
        <v>28.615384615384617</v>
      </c>
      <c r="BV213" s="8">
        <f t="shared" si="400"/>
        <v>55.2</v>
      </c>
      <c r="BW213" s="8">
        <f t="shared" si="400"/>
        <v>48.8</v>
      </c>
      <c r="BX213" s="8">
        <f t="shared" si="400"/>
        <v>149</v>
      </c>
      <c r="BY213" s="8">
        <f t="shared" si="400"/>
        <v>26.37037037037037</v>
      </c>
      <c r="BZ213" s="8">
        <f t="shared" si="400"/>
        <v>51.75</v>
      </c>
      <c r="CA213" s="8">
        <f t="shared" si="400"/>
        <v>28.758620689655171</v>
      </c>
      <c r="CB213" s="8">
        <f t="shared" si="400"/>
        <v>104.88888888888889</v>
      </c>
      <c r="CC213" s="8">
        <f t="shared" si="400"/>
        <v>86.545454545454547</v>
      </c>
      <c r="CD213" s="8">
        <f t="shared" si="400"/>
        <v>99</v>
      </c>
      <c r="CE213" s="8">
        <f t="shared" si="400"/>
        <v>60.882352941176471</v>
      </c>
      <c r="CF213" s="8">
        <f t="shared" si="400"/>
        <v>70.25</v>
      </c>
      <c r="CG213" s="8">
        <f t="shared" si="400"/>
        <v>234.8</v>
      </c>
      <c r="CH213" s="8">
        <f t="shared" si="400"/>
        <v>152.77777777777777</v>
      </c>
      <c r="CI213" s="8">
        <f t="shared" si="400"/>
        <v>168</v>
      </c>
      <c r="CJ213" s="8">
        <f t="shared" si="400"/>
        <v>212.71428571428572</v>
      </c>
      <c r="CK213" s="8"/>
      <c r="CL213" s="8">
        <f t="shared" si="400"/>
        <v>392.25</v>
      </c>
      <c r="CM213" s="8"/>
      <c r="CN213" s="8">
        <f t="shared" si="400"/>
        <v>258.66666666666669</v>
      </c>
      <c r="CO213" s="8"/>
      <c r="CP213" s="8">
        <f t="shared" si="400"/>
        <v>357.25</v>
      </c>
      <c r="CQ213" s="8">
        <f t="shared" si="400"/>
        <v>658.5</v>
      </c>
      <c r="CR213" s="8">
        <f t="shared" si="400"/>
        <v>293.25</v>
      </c>
      <c r="CS213" s="8">
        <f t="shared" si="400"/>
        <v>1018</v>
      </c>
      <c r="CT213" s="8">
        <f t="shared" si="400"/>
        <v>-907</v>
      </c>
      <c r="CU213" s="8">
        <f t="shared" si="400"/>
        <v>-593</v>
      </c>
      <c r="CV213" s="8">
        <f t="shared" si="400"/>
        <v>437</v>
      </c>
      <c r="CW213" s="8">
        <f t="shared" si="400"/>
        <v>-320</v>
      </c>
      <c r="CX213" s="8">
        <f t="shared" si="400"/>
        <v>203</v>
      </c>
      <c r="CY213" s="8" t="e">
        <f t="shared" si="400"/>
        <v>#DIV/0!</v>
      </c>
    </row>
    <row r="214" spans="1:103" x14ac:dyDescent="0.3">
      <c r="A214" s="10">
        <v>2017</v>
      </c>
      <c r="B214" s="8"/>
      <c r="C214" s="8">
        <f t="shared" ref="C214:BN214" si="401">C166/C68</f>
        <v>0.28042328042328041</v>
      </c>
      <c r="D214" s="8">
        <f t="shared" si="401"/>
        <v>3.5799522673031028E-3</v>
      </c>
      <c r="E214" s="8">
        <f t="shared" si="401"/>
        <v>3.9175257731958762E-2</v>
      </c>
      <c r="F214" s="8">
        <f t="shared" si="401"/>
        <v>1.3966480446927373E-2</v>
      </c>
      <c r="G214" s="8">
        <f t="shared" si="401"/>
        <v>4.8295454545454544E-2</v>
      </c>
      <c r="H214" s="8">
        <f t="shared" si="401"/>
        <v>3.8461538461538464E-3</v>
      </c>
      <c r="I214" s="8">
        <f t="shared" si="401"/>
        <v>-2.5925925925925925E-2</v>
      </c>
      <c r="J214" s="8">
        <f t="shared" si="401"/>
        <v>6.8027210884353748E-2</v>
      </c>
      <c r="K214" s="8">
        <f t="shared" si="401"/>
        <v>3.205128205128205E-3</v>
      </c>
      <c r="L214" s="8">
        <f t="shared" si="401"/>
        <v>1.0335917312661499E-2</v>
      </c>
      <c r="M214" s="8">
        <f t="shared" si="401"/>
        <v>-2.5252525252525255E-3</v>
      </c>
      <c r="N214" s="8">
        <f t="shared" si="401"/>
        <v>5.0000000000000001E-3</v>
      </c>
      <c r="O214" s="8">
        <f t="shared" si="401"/>
        <v>-1.9718309859154931E-2</v>
      </c>
      <c r="P214" s="8">
        <f t="shared" si="401"/>
        <v>3.9893617021276598E-2</v>
      </c>
      <c r="Q214" s="8">
        <f t="shared" si="401"/>
        <v>4.9689440993788817E-2</v>
      </c>
      <c r="R214" s="8">
        <f t="shared" si="401"/>
        <v>2.2388059701492536E-2</v>
      </c>
      <c r="S214" s="8">
        <f t="shared" si="401"/>
        <v>1.2E-2</v>
      </c>
      <c r="T214" s="8">
        <f t="shared" si="401"/>
        <v>9.2449922958397542E-3</v>
      </c>
      <c r="U214" s="8">
        <f t="shared" si="401"/>
        <v>0</v>
      </c>
      <c r="V214" s="8">
        <f t="shared" si="401"/>
        <v>3.3057851239669422E-2</v>
      </c>
      <c r="W214" s="8">
        <f t="shared" si="401"/>
        <v>8.4668192219679639E-2</v>
      </c>
      <c r="X214" s="8">
        <f t="shared" si="401"/>
        <v>-7.9245283018867921E-2</v>
      </c>
      <c r="Y214" s="8">
        <f t="shared" si="401"/>
        <v>3.7313432835820892E-2</v>
      </c>
      <c r="Z214" s="8">
        <f t="shared" si="401"/>
        <v>7.2678331090174964E-2</v>
      </c>
      <c r="AA214" s="8">
        <f t="shared" si="401"/>
        <v>-6.0544904137235112E-3</v>
      </c>
      <c r="AB214" s="8">
        <f t="shared" si="401"/>
        <v>1.5810276679841896E-2</v>
      </c>
      <c r="AC214" s="8">
        <f t="shared" si="401"/>
        <v>2.2146507666098807E-2</v>
      </c>
      <c r="AD214" s="8">
        <f t="shared" si="401"/>
        <v>-3.5246727089627394E-2</v>
      </c>
      <c r="AE214" s="8">
        <f t="shared" si="401"/>
        <v>3.0082987551867221E-2</v>
      </c>
      <c r="AF214" s="8">
        <f t="shared" si="401"/>
        <v>1.1920529801324504E-2</v>
      </c>
      <c r="AG214" s="8">
        <f t="shared" si="401"/>
        <v>6.6985645933014357E-2</v>
      </c>
      <c r="AH214" s="8">
        <f t="shared" si="401"/>
        <v>7.8277886497064575E-2</v>
      </c>
      <c r="AI214" s="8">
        <f t="shared" si="401"/>
        <v>0.20127118644067796</v>
      </c>
      <c r="AJ214" s="8">
        <f t="shared" si="401"/>
        <v>5.9071729957805907E-2</v>
      </c>
      <c r="AK214" s="8">
        <f t="shared" si="401"/>
        <v>0.19354838709677419</v>
      </c>
      <c r="AL214" s="8">
        <f t="shared" si="401"/>
        <v>9.3596059113300489E-2</v>
      </c>
      <c r="AM214" s="8">
        <f t="shared" si="401"/>
        <v>0.15044247787610621</v>
      </c>
      <c r="AN214" s="8">
        <f t="shared" si="401"/>
        <v>0.13793103448275862</v>
      </c>
      <c r="AO214" s="8">
        <f t="shared" si="401"/>
        <v>0.25</v>
      </c>
      <c r="AP214" s="8">
        <f t="shared" si="401"/>
        <v>0.23762376237623761</v>
      </c>
      <c r="AQ214" s="8">
        <f t="shared" si="401"/>
        <v>0.2356020942408377</v>
      </c>
      <c r="AR214" s="8">
        <f t="shared" si="401"/>
        <v>0.43125000000000002</v>
      </c>
      <c r="AS214" s="8">
        <f t="shared" si="401"/>
        <v>0.54609929078014185</v>
      </c>
      <c r="AT214" s="8">
        <f t="shared" si="401"/>
        <v>0.3611111111111111</v>
      </c>
      <c r="AU214" s="8">
        <f t="shared" si="401"/>
        <v>0.98630136986301364</v>
      </c>
      <c r="AV214" s="8">
        <f t="shared" si="401"/>
        <v>1.0843373493975903</v>
      </c>
      <c r="AW214" s="8">
        <f t="shared" si="401"/>
        <v>1.5333333333333334</v>
      </c>
      <c r="AX214" s="8">
        <f t="shared" si="401"/>
        <v>1.7068965517241379</v>
      </c>
      <c r="AY214" s="8">
        <f t="shared" si="401"/>
        <v>1.9672131147540983</v>
      </c>
      <c r="AZ214" s="8">
        <f t="shared" si="401"/>
        <v>2.5769230769230771</v>
      </c>
      <c r="BA214" s="8">
        <f t="shared" si="401"/>
        <v>2.0144927536231885</v>
      </c>
      <c r="BB214" s="8">
        <f t="shared" si="401"/>
        <v>-6.04</v>
      </c>
      <c r="BC214" s="8">
        <f t="shared" si="401"/>
        <v>4.6969696969696972</v>
      </c>
      <c r="BD214" s="8">
        <f t="shared" si="401"/>
        <v>-19.2</v>
      </c>
      <c r="BE214" s="8">
        <f t="shared" si="401"/>
        <v>-207</v>
      </c>
      <c r="BF214" s="8">
        <f t="shared" si="401"/>
        <v>35.799999999999997</v>
      </c>
      <c r="BG214" s="8">
        <f t="shared" si="401"/>
        <v>-14.3125</v>
      </c>
      <c r="BH214" s="8">
        <f t="shared" si="401"/>
        <v>-15.823529411764707</v>
      </c>
      <c r="BI214" s="8">
        <f t="shared" si="401"/>
        <v>-5.48</v>
      </c>
      <c r="BJ214" s="8">
        <f t="shared" si="401"/>
        <v>-10.4</v>
      </c>
      <c r="BK214" s="8">
        <f t="shared" si="401"/>
        <v>-14.458333333333334</v>
      </c>
      <c r="BL214" s="8">
        <f t="shared" si="401"/>
        <v>-8.1428571428571423</v>
      </c>
      <c r="BM214" s="8">
        <f t="shared" si="401"/>
        <v>-11.096774193548388</v>
      </c>
      <c r="BN214" s="8">
        <f t="shared" si="401"/>
        <v>-10.023255813953488</v>
      </c>
      <c r="BO214" s="8">
        <f t="shared" ref="BO214:CY214" si="402">BO166/BO68</f>
        <v>-13.454545454545455</v>
      </c>
      <c r="BP214" s="8">
        <f t="shared" si="402"/>
        <v>-9.0566037735849054</v>
      </c>
      <c r="BQ214" s="8">
        <f t="shared" si="402"/>
        <v>-17</v>
      </c>
      <c r="BR214" s="8">
        <f t="shared" si="402"/>
        <v>-7.8181818181818183</v>
      </c>
      <c r="BS214" s="8">
        <f t="shared" si="402"/>
        <v>-32.65</v>
      </c>
      <c r="BT214" s="8">
        <f t="shared" si="402"/>
        <v>-92.125</v>
      </c>
      <c r="BU214" s="8">
        <f t="shared" si="402"/>
        <v>72.36363636363636</v>
      </c>
      <c r="BV214" s="8">
        <f t="shared" si="402"/>
        <v>-46.222222222222221</v>
      </c>
      <c r="BW214" s="8">
        <f t="shared" si="402"/>
        <v>878</v>
      </c>
      <c r="BX214" s="8">
        <f t="shared" si="402"/>
        <v>69.25</v>
      </c>
      <c r="BY214" s="8">
        <f t="shared" si="402"/>
        <v>101.25</v>
      </c>
      <c r="BZ214" s="8">
        <f t="shared" si="402"/>
        <v>85.777777777777771</v>
      </c>
      <c r="CA214" s="8">
        <f t="shared" si="402"/>
        <v>32.925925925925924</v>
      </c>
      <c r="CB214" s="8">
        <f t="shared" si="402"/>
        <v>59.0625</v>
      </c>
      <c r="CC214" s="8">
        <f t="shared" si="402"/>
        <v>50.05</v>
      </c>
      <c r="CD214" s="8">
        <f t="shared" si="402"/>
        <v>52.55</v>
      </c>
      <c r="CE214" s="8">
        <f t="shared" si="402"/>
        <v>215.4</v>
      </c>
      <c r="CF214" s="8">
        <f t="shared" si="402"/>
        <v>562</v>
      </c>
      <c r="CG214" s="8">
        <f t="shared" si="402"/>
        <v>125.33333333333333</v>
      </c>
      <c r="CH214" s="8">
        <f t="shared" si="402"/>
        <v>246.6</v>
      </c>
      <c r="CI214" s="8">
        <f t="shared" si="402"/>
        <v>1457</v>
      </c>
      <c r="CJ214" s="8">
        <f t="shared" si="402"/>
        <v>164.66666666666666</v>
      </c>
      <c r="CK214" s="8">
        <f t="shared" si="402"/>
        <v>142.81818181818181</v>
      </c>
      <c r="CL214" s="8">
        <f t="shared" si="402"/>
        <v>-210.14285714285714</v>
      </c>
      <c r="CM214" s="8">
        <f t="shared" si="402"/>
        <v>1579</v>
      </c>
      <c r="CN214" s="8">
        <f t="shared" si="402"/>
        <v>514.33333333333337</v>
      </c>
      <c r="CO214" s="8">
        <f t="shared" si="402"/>
        <v>-769</v>
      </c>
      <c r="CP214" s="8">
        <f t="shared" si="402"/>
        <v>-1412</v>
      </c>
      <c r="CQ214" s="8">
        <f t="shared" si="402"/>
        <v>-1317</v>
      </c>
      <c r="CR214" s="8">
        <f t="shared" si="402"/>
        <v>-581</v>
      </c>
      <c r="CS214" s="8">
        <f t="shared" si="402"/>
        <v>-1054</v>
      </c>
      <c r="CT214" s="8"/>
      <c r="CU214" s="8">
        <f t="shared" si="402"/>
        <v>234.66666666666666</v>
      </c>
      <c r="CV214" s="8">
        <f t="shared" si="402"/>
        <v>222.5</v>
      </c>
      <c r="CW214" s="8">
        <f t="shared" si="402"/>
        <v>-160.5</v>
      </c>
      <c r="CX214" s="8" t="e">
        <f t="shared" si="402"/>
        <v>#DIV/0!</v>
      </c>
      <c r="CY214" s="8">
        <f t="shared" si="402"/>
        <v>38.75</v>
      </c>
    </row>
    <row r="215" spans="1:103" x14ac:dyDescent="0.3">
      <c r="A215" s="10">
        <v>2018</v>
      </c>
      <c r="B215" s="8"/>
      <c r="C215" s="8">
        <f t="shared" ref="C215:BN215" si="403">C167/C69</f>
        <v>0.10423452768729642</v>
      </c>
      <c r="D215" s="8">
        <f t="shared" si="403"/>
        <v>-1.6207455429497569E-2</v>
      </c>
      <c r="E215" s="8">
        <f t="shared" si="403"/>
        <v>-4.4444444444444446E-2</v>
      </c>
      <c r="F215" s="8">
        <f t="shared" si="403"/>
        <v>0.17391304347826086</v>
      </c>
      <c r="G215" s="8">
        <f t="shared" si="403"/>
        <v>1.3333333333333334E-2</v>
      </c>
      <c r="H215" s="8">
        <f t="shared" si="403"/>
        <v>9.7560975609756101E-2</v>
      </c>
      <c r="I215" s="8">
        <f t="shared" si="403"/>
        <v>2.6666666666666668E-2</v>
      </c>
      <c r="J215" s="8">
        <f t="shared" si="403"/>
        <v>-5.2631578947368418E-2</v>
      </c>
      <c r="K215" s="8">
        <f t="shared" si="403"/>
        <v>0</v>
      </c>
      <c r="L215" s="8">
        <f t="shared" si="403"/>
        <v>2.7027027027027029E-2</v>
      </c>
      <c r="M215" s="8">
        <f t="shared" si="403"/>
        <v>3.5856573705179286E-2</v>
      </c>
      <c r="N215" s="8">
        <f t="shared" si="403"/>
        <v>-7.4349442379182153E-3</v>
      </c>
      <c r="O215" s="8">
        <f t="shared" si="403"/>
        <v>5.3571428571428568E-2</v>
      </c>
      <c r="P215" s="8">
        <f t="shared" si="403"/>
        <v>1.6891891891891893E-2</v>
      </c>
      <c r="Q215" s="8">
        <f t="shared" si="403"/>
        <v>5.5172413793103448E-2</v>
      </c>
      <c r="R215" s="8">
        <f t="shared" si="403"/>
        <v>6.993006993006993E-3</v>
      </c>
      <c r="S215" s="8">
        <f t="shared" si="403"/>
        <v>-1.3192612137203167E-2</v>
      </c>
      <c r="T215" s="8">
        <f t="shared" si="403"/>
        <v>-4.6961325966850827E-2</v>
      </c>
      <c r="U215" s="8">
        <f t="shared" si="403"/>
        <v>0.10672853828306264</v>
      </c>
      <c r="V215" s="8">
        <f t="shared" si="403"/>
        <v>5.6000000000000001E-2</v>
      </c>
      <c r="W215" s="8">
        <f t="shared" si="403"/>
        <v>1.0666666666666666E-2</v>
      </c>
      <c r="X215" s="8">
        <f t="shared" si="403"/>
        <v>1.5021459227467811E-2</v>
      </c>
      <c r="Y215" s="8">
        <f t="shared" si="403"/>
        <v>-3.5294117647058823E-2</v>
      </c>
      <c r="Z215" s="8">
        <f t="shared" si="403"/>
        <v>1.0463378176382661E-2</v>
      </c>
      <c r="AA215" s="8">
        <f t="shared" si="403"/>
        <v>-1.1098779134295228E-3</v>
      </c>
      <c r="AB215" s="8">
        <f t="shared" si="403"/>
        <v>0</v>
      </c>
      <c r="AC215" s="8">
        <f t="shared" si="403"/>
        <v>6.5055762081784388E-3</v>
      </c>
      <c r="AD215" s="8">
        <f t="shared" si="403"/>
        <v>3.1078610603290677E-2</v>
      </c>
      <c r="AE215" s="8">
        <f t="shared" si="403"/>
        <v>5.2093973442288048E-2</v>
      </c>
      <c r="AF215" s="8">
        <f t="shared" si="403"/>
        <v>3.612903225806452E-2</v>
      </c>
      <c r="AG215" s="8">
        <f t="shared" si="403"/>
        <v>3.896103896103896E-2</v>
      </c>
      <c r="AH215" s="8">
        <f t="shared" si="403"/>
        <v>9.8418277680140595E-2</v>
      </c>
      <c r="AI215" s="8">
        <f t="shared" si="403"/>
        <v>0.1272264631043257</v>
      </c>
      <c r="AJ215" s="8">
        <f t="shared" si="403"/>
        <v>0.11448598130841121</v>
      </c>
      <c r="AK215" s="8">
        <f t="shared" si="403"/>
        <v>0.15185185185185185</v>
      </c>
      <c r="AL215" s="8">
        <f t="shared" si="403"/>
        <v>0.12987012987012986</v>
      </c>
      <c r="AM215" s="8">
        <f t="shared" si="403"/>
        <v>0.20175438596491227</v>
      </c>
      <c r="AN215" s="8">
        <f t="shared" si="403"/>
        <v>0.26415094339622641</v>
      </c>
      <c r="AO215" s="8">
        <f t="shared" si="403"/>
        <v>0.40099009900990101</v>
      </c>
      <c r="AP215" s="8">
        <f t="shared" si="403"/>
        <v>0.24481327800829875</v>
      </c>
      <c r="AQ215" s="8">
        <f t="shared" si="403"/>
        <v>0.20487804878048779</v>
      </c>
      <c r="AR215" s="8">
        <f t="shared" si="403"/>
        <v>0.62222222222222223</v>
      </c>
      <c r="AS215" s="8">
        <f t="shared" si="403"/>
        <v>0.60144927536231885</v>
      </c>
      <c r="AT215" s="8">
        <f t="shared" si="403"/>
        <v>0.3247863247863248</v>
      </c>
      <c r="AU215" s="8">
        <f t="shared" si="403"/>
        <v>0.41919191919191917</v>
      </c>
      <c r="AV215" s="8">
        <f t="shared" si="403"/>
        <v>1.1325301204819278</v>
      </c>
      <c r="AW215" s="8">
        <f t="shared" si="403"/>
        <v>0.62091503267973858</v>
      </c>
      <c r="AX215" s="8">
        <f t="shared" si="403"/>
        <v>0.84070796460176989</v>
      </c>
      <c r="AY215" s="8">
        <f t="shared" si="403"/>
        <v>1.7027027027027026</v>
      </c>
      <c r="AZ215" s="8">
        <f t="shared" si="403"/>
        <v>2.607843137254902</v>
      </c>
      <c r="BA215" s="8">
        <f t="shared" si="403"/>
        <v>5.7407407407407405</v>
      </c>
      <c r="BB215" s="8">
        <f t="shared" si="403"/>
        <v>1.7250000000000001</v>
      </c>
      <c r="BC215" s="8">
        <f t="shared" si="403"/>
        <v>4.5714285714285712</v>
      </c>
      <c r="BD215" s="8">
        <f t="shared" si="403"/>
        <v>-8.045454545454545</v>
      </c>
      <c r="BE215" s="8">
        <f t="shared" si="403"/>
        <v>14.384615384615385</v>
      </c>
      <c r="BF215" s="8">
        <f t="shared" si="403"/>
        <v>-11.263157894736842</v>
      </c>
      <c r="BG215" s="8">
        <f t="shared" si="403"/>
        <v>5.4761904761904763</v>
      </c>
      <c r="BH215" s="8">
        <f t="shared" si="403"/>
        <v>-7.8125</v>
      </c>
      <c r="BI215" s="8">
        <f t="shared" si="403"/>
        <v>-6.3488372093023253</v>
      </c>
      <c r="BJ215" s="8">
        <f t="shared" si="403"/>
        <v>-8.0789473684210531</v>
      </c>
      <c r="BK215" s="8">
        <f t="shared" si="403"/>
        <v>-55</v>
      </c>
      <c r="BL215" s="8">
        <f t="shared" si="403"/>
        <v>-9.6666666666666661</v>
      </c>
      <c r="BM215" s="8">
        <f t="shared" si="403"/>
        <v>-10.914285714285715</v>
      </c>
      <c r="BN215" s="8">
        <f t="shared" si="403"/>
        <v>-5.1124999999999998</v>
      </c>
      <c r="BO215" s="8">
        <f t="shared" ref="BO215:CY215" si="404">BO167/BO69</f>
        <v>-14.030303030303031</v>
      </c>
      <c r="BP215" s="8">
        <f t="shared" si="404"/>
        <v>-17.571428571428573</v>
      </c>
      <c r="BQ215" s="8">
        <f t="shared" si="404"/>
        <v>-34.571428571428569</v>
      </c>
      <c r="BR215" s="8">
        <f t="shared" si="404"/>
        <v>-16.657142857142858</v>
      </c>
      <c r="BS215" s="8">
        <f t="shared" si="404"/>
        <v>77.5</v>
      </c>
      <c r="BT215" s="8">
        <f t="shared" si="404"/>
        <v>142.6</v>
      </c>
      <c r="BU215" s="8">
        <f t="shared" si="404"/>
        <v>65.666666666666671</v>
      </c>
      <c r="BV215" s="8">
        <f t="shared" si="404"/>
        <v>126.14285714285714</v>
      </c>
      <c r="BW215" s="8">
        <f t="shared" si="404"/>
        <v>53.125</v>
      </c>
      <c r="BX215" s="8">
        <f t="shared" si="404"/>
        <v>50.588235294117645</v>
      </c>
      <c r="BY215" s="8">
        <f t="shared" si="404"/>
        <v>34.36</v>
      </c>
      <c r="BZ215" s="8">
        <f t="shared" si="404"/>
        <v>151</v>
      </c>
      <c r="CA215" s="8">
        <f t="shared" si="404"/>
        <v>26.548387096774192</v>
      </c>
      <c r="CB215" s="8">
        <f t="shared" si="404"/>
        <v>206</v>
      </c>
      <c r="CC215" s="8">
        <f t="shared" si="404"/>
        <v>31</v>
      </c>
      <c r="CD215" s="8">
        <f t="shared" si="404"/>
        <v>108.3</v>
      </c>
      <c r="CE215" s="8">
        <f t="shared" si="404"/>
        <v>82.07692307692308</v>
      </c>
      <c r="CF215" s="8">
        <f t="shared" si="404"/>
        <v>146.625</v>
      </c>
      <c r="CG215" s="8"/>
      <c r="CH215" s="8">
        <f t="shared" si="404"/>
        <v>112.36363636363636</v>
      </c>
      <c r="CI215" s="8">
        <f t="shared" si="404"/>
        <v>632.5</v>
      </c>
      <c r="CJ215" s="8">
        <f t="shared" si="404"/>
        <v>118.16666666666667</v>
      </c>
      <c r="CK215" s="8">
        <f t="shared" si="404"/>
        <v>-748.5</v>
      </c>
      <c r="CL215" s="8">
        <f t="shared" si="404"/>
        <v>382.75</v>
      </c>
      <c r="CM215" s="8">
        <f t="shared" si="404"/>
        <v>303.60000000000002</v>
      </c>
      <c r="CN215" s="8">
        <f t="shared" si="404"/>
        <v>-1637</v>
      </c>
      <c r="CO215" s="8">
        <f t="shared" si="404"/>
        <v>471.33333333333331</v>
      </c>
      <c r="CP215" s="8">
        <f t="shared" si="404"/>
        <v>-1469</v>
      </c>
      <c r="CQ215" s="8">
        <f t="shared" si="404"/>
        <v>1263</v>
      </c>
      <c r="CR215" s="8">
        <f t="shared" si="404"/>
        <v>561.5</v>
      </c>
      <c r="CS215" s="8">
        <f t="shared" si="404"/>
        <v>508</v>
      </c>
      <c r="CT215" s="8">
        <f t="shared" si="404"/>
        <v>441</v>
      </c>
      <c r="CU215" s="8"/>
      <c r="CV215" s="8" t="e">
        <f t="shared" si="404"/>
        <v>#DIV/0!</v>
      </c>
      <c r="CW215" s="8">
        <f t="shared" si="404"/>
        <v>113.33333333333333</v>
      </c>
      <c r="CX215" s="8">
        <f t="shared" si="404"/>
        <v>87.666666666666671</v>
      </c>
      <c r="CY215" s="8">
        <f t="shared" si="404"/>
        <v>145</v>
      </c>
    </row>
    <row r="216" spans="1:103" x14ac:dyDescent="0.3">
      <c r="A216" s="10">
        <v>2019</v>
      </c>
      <c r="B216" s="8"/>
      <c r="C216" s="8">
        <f t="shared" ref="C216:BN216" si="405">C168/C70</f>
        <v>2.4590163934426229E-2</v>
      </c>
      <c r="D216" s="8">
        <f t="shared" si="405"/>
        <v>7.9365079365079361E-3</v>
      </c>
      <c r="E216" s="8">
        <f t="shared" si="405"/>
        <v>-2.0833333333333332E-2</v>
      </c>
      <c r="F216" s="8">
        <f t="shared" si="405"/>
        <v>-5.9523809523809521E-3</v>
      </c>
      <c r="G216" s="8">
        <f t="shared" si="405"/>
        <v>2.843601895734597E-2</v>
      </c>
      <c r="H216" s="8">
        <f t="shared" si="405"/>
        <v>8.8235294117647065E-2</v>
      </c>
      <c r="I216" s="8">
        <f t="shared" si="405"/>
        <v>1.5625E-2</v>
      </c>
      <c r="J216" s="8">
        <f t="shared" si="405"/>
        <v>2.3809523809523808E-2</v>
      </c>
      <c r="K216" s="8">
        <f t="shared" si="405"/>
        <v>3.8022813688212928E-3</v>
      </c>
      <c r="L216" s="8">
        <f t="shared" si="405"/>
        <v>0.10465116279069768</v>
      </c>
      <c r="M216" s="8">
        <f t="shared" si="405"/>
        <v>-4.9645390070921988E-2</v>
      </c>
      <c r="N216" s="8">
        <f t="shared" si="405"/>
        <v>6.2962962962962957E-2</v>
      </c>
      <c r="O216" s="8">
        <f t="shared" si="405"/>
        <v>-3.8167938931297708E-3</v>
      </c>
      <c r="P216" s="8">
        <f t="shared" si="405"/>
        <v>5.5944055944055944E-2</v>
      </c>
      <c r="Q216" s="8">
        <f t="shared" si="405"/>
        <v>1.1538461538461539E-2</v>
      </c>
      <c r="R216" s="8">
        <f t="shared" si="405"/>
        <v>5.6451612903225805E-2</v>
      </c>
      <c r="S216" s="8">
        <f t="shared" si="405"/>
        <v>1.282051282051282E-2</v>
      </c>
      <c r="T216" s="8">
        <f t="shared" si="405"/>
        <v>-1.8461538461538463E-2</v>
      </c>
      <c r="U216" s="8">
        <f t="shared" si="405"/>
        <v>0.10846560846560846</v>
      </c>
      <c r="V216" s="8">
        <f t="shared" si="405"/>
        <v>0.12121212121212122</v>
      </c>
      <c r="W216" s="8">
        <f t="shared" si="405"/>
        <v>-4.2801556420233464E-2</v>
      </c>
      <c r="X216" s="8">
        <f t="shared" si="405"/>
        <v>9.3103448275862075E-2</v>
      </c>
      <c r="Y216" s="8">
        <f t="shared" si="405"/>
        <v>0.1223021582733813</v>
      </c>
      <c r="Z216" s="8">
        <f t="shared" si="405"/>
        <v>-3.7688442211055275E-3</v>
      </c>
      <c r="AA216" s="8">
        <f t="shared" si="405"/>
        <v>3.3696729435084241E-2</v>
      </c>
      <c r="AB216" s="8">
        <f t="shared" si="405"/>
        <v>2.2875816993464051E-2</v>
      </c>
      <c r="AC216" s="8">
        <f t="shared" si="405"/>
        <v>3.8880248833592537E-3</v>
      </c>
      <c r="AD216" s="8">
        <f t="shared" si="405"/>
        <v>3.2281731474688186E-2</v>
      </c>
      <c r="AE216" s="8">
        <f t="shared" si="405"/>
        <v>1.4492753623188406E-2</v>
      </c>
      <c r="AF216" s="8">
        <f t="shared" si="405"/>
        <v>3.6758563074352546E-2</v>
      </c>
      <c r="AG216" s="8">
        <f t="shared" si="405"/>
        <v>2.4839006439742409E-2</v>
      </c>
      <c r="AH216" s="8">
        <f t="shared" si="405"/>
        <v>6.7000000000000004E-2</v>
      </c>
      <c r="AI216" s="8">
        <f t="shared" si="405"/>
        <v>4.190919674039581E-2</v>
      </c>
      <c r="AJ216" s="8">
        <f t="shared" si="405"/>
        <v>2.5551684088269456E-2</v>
      </c>
      <c r="AK216" s="8">
        <f t="shared" si="405"/>
        <v>6.1983471074380167E-2</v>
      </c>
      <c r="AL216" s="8">
        <f t="shared" si="405"/>
        <v>6.1417322834645668E-2</v>
      </c>
      <c r="AM216" s="8">
        <f t="shared" si="405"/>
        <v>9.0332805071315372E-2</v>
      </c>
      <c r="AN216" s="8">
        <f t="shared" si="405"/>
        <v>0.13359528487229863</v>
      </c>
      <c r="AO216" s="8">
        <f t="shared" si="405"/>
        <v>8.477842003853564E-2</v>
      </c>
      <c r="AP216" s="8">
        <f t="shared" si="405"/>
        <v>0.10144927536231885</v>
      </c>
      <c r="AQ216" s="8">
        <f t="shared" si="405"/>
        <v>0.14367816091954022</v>
      </c>
      <c r="AR216" s="8">
        <f t="shared" si="405"/>
        <v>0.11551155115511551</v>
      </c>
      <c r="AS216" s="8">
        <f t="shared" si="405"/>
        <v>0.2441860465116279</v>
      </c>
      <c r="AT216" s="8">
        <f t="shared" si="405"/>
        <v>0.19345238095238096</v>
      </c>
      <c r="AU216" s="8">
        <f t="shared" si="405"/>
        <v>0.32669322709163345</v>
      </c>
      <c r="AV216" s="8">
        <f t="shared" si="405"/>
        <v>0.19855595667870035</v>
      </c>
      <c r="AW216" s="8">
        <f t="shared" si="405"/>
        <v>0.33579335793357934</v>
      </c>
      <c r="AX216" s="8">
        <f t="shared" si="405"/>
        <v>0.36121673003802279</v>
      </c>
      <c r="AY216" s="8">
        <f t="shared" si="405"/>
        <v>0.5223214285714286</v>
      </c>
      <c r="AZ216" s="8">
        <f t="shared" si="405"/>
        <v>0.69696969696969702</v>
      </c>
      <c r="BA216" s="8">
        <f t="shared" si="405"/>
        <v>0.67724867724867721</v>
      </c>
      <c r="BB216" s="8">
        <f t="shared" si="405"/>
        <v>1.3280000000000001</v>
      </c>
      <c r="BC216" s="8">
        <f t="shared" si="405"/>
        <v>1.7209302325581395</v>
      </c>
      <c r="BD216" s="8">
        <f t="shared" si="405"/>
        <v>1.7619047619047619</v>
      </c>
      <c r="BE216" s="8">
        <f t="shared" si="405"/>
        <v>2.1222222222222222</v>
      </c>
      <c r="BF216" s="8">
        <f t="shared" si="405"/>
        <v>4</v>
      </c>
      <c r="BG216" s="8">
        <f t="shared" si="405"/>
        <v>5.0217391304347823</v>
      </c>
      <c r="BH216" s="8">
        <f t="shared" si="405"/>
        <v>120</v>
      </c>
      <c r="BI216" s="8">
        <f t="shared" si="405"/>
        <v>7.1470588235294121</v>
      </c>
      <c r="BJ216" s="8">
        <f t="shared" si="405"/>
        <v>13.285714285714286</v>
      </c>
      <c r="BK216" s="8">
        <f t="shared" si="405"/>
        <v>60</v>
      </c>
      <c r="BL216" s="8">
        <f t="shared" si="405"/>
        <v>-15.913043478260869</v>
      </c>
      <c r="BM216" s="8">
        <f t="shared" si="405"/>
        <v>-69.5</v>
      </c>
      <c r="BN216" s="8">
        <f t="shared" si="405"/>
        <v>-9.9534883720930232</v>
      </c>
      <c r="BO216" s="8">
        <f t="shared" ref="BO216:CY216" si="406">BO168/BO70</f>
        <v>-14.612903225806452</v>
      </c>
      <c r="BP216" s="8">
        <f t="shared" si="406"/>
        <v>-30.0625</v>
      </c>
      <c r="BQ216" s="8">
        <f t="shared" si="406"/>
        <v>-46.090909090909093</v>
      </c>
      <c r="BR216" s="8">
        <f t="shared" si="406"/>
        <v>-6.916666666666667</v>
      </c>
      <c r="BS216" s="8">
        <f t="shared" si="406"/>
        <v>-15.72972972972973</v>
      </c>
      <c r="BT216" s="8">
        <f t="shared" si="406"/>
        <v>-173</v>
      </c>
      <c r="BU216" s="8">
        <f t="shared" si="406"/>
        <v>-44.9375</v>
      </c>
      <c r="BV216" s="8">
        <f t="shared" si="406"/>
        <v>-86.4</v>
      </c>
      <c r="BW216" s="8">
        <f t="shared" si="406"/>
        <v>58.3125</v>
      </c>
      <c r="BX216" s="8">
        <f t="shared" si="406"/>
        <v>197</v>
      </c>
      <c r="BY216" s="8"/>
      <c r="BZ216" s="8">
        <f t="shared" si="406"/>
        <v>52.111111111111114</v>
      </c>
      <c r="CA216" s="8">
        <f t="shared" si="406"/>
        <v>105.55555555555556</v>
      </c>
      <c r="CB216" s="8">
        <f t="shared" si="406"/>
        <v>42.80952380952381</v>
      </c>
      <c r="CC216" s="8">
        <f t="shared" si="406"/>
        <v>100.1</v>
      </c>
      <c r="CD216" s="8">
        <f t="shared" si="406"/>
        <v>65.411764705882348</v>
      </c>
      <c r="CE216" s="8">
        <f t="shared" si="406"/>
        <v>67.875</v>
      </c>
      <c r="CF216" s="8">
        <f t="shared" si="406"/>
        <v>141.5</v>
      </c>
      <c r="CG216" s="8">
        <f t="shared" si="406"/>
        <v>79.13333333333334</v>
      </c>
      <c r="CH216" s="8">
        <f t="shared" si="406"/>
        <v>324</v>
      </c>
      <c r="CI216" s="8">
        <f t="shared" si="406"/>
        <v>93.357142857142861</v>
      </c>
      <c r="CJ216" s="8">
        <f t="shared" si="406"/>
        <v>670</v>
      </c>
      <c r="CK216" s="8">
        <f t="shared" si="406"/>
        <v>295.39999999999998</v>
      </c>
      <c r="CL216" s="8">
        <f t="shared" si="406"/>
        <v>384</v>
      </c>
      <c r="CM216" s="8">
        <f t="shared" si="406"/>
        <v>151.69999999999999</v>
      </c>
      <c r="CN216" s="8">
        <f t="shared" si="406"/>
        <v>477</v>
      </c>
      <c r="CO216" s="8">
        <f t="shared" si="406"/>
        <v>1477</v>
      </c>
      <c r="CP216" s="8">
        <f t="shared" si="406"/>
        <v>344</v>
      </c>
      <c r="CQ216" s="8">
        <f t="shared" si="406"/>
        <v>-1258</v>
      </c>
      <c r="CR216" s="8">
        <f t="shared" si="406"/>
        <v>1163</v>
      </c>
      <c r="CS216" s="8">
        <f t="shared" si="406"/>
        <v>491.5</v>
      </c>
      <c r="CT216" s="8">
        <f t="shared" si="406"/>
        <v>789</v>
      </c>
      <c r="CU216" s="8">
        <f t="shared" si="406"/>
        <v>706</v>
      </c>
      <c r="CV216" s="8" t="e">
        <f t="shared" si="406"/>
        <v>#DIV/0!</v>
      </c>
      <c r="CW216" s="8" t="e">
        <f t="shared" si="406"/>
        <v>#DIV/0!</v>
      </c>
      <c r="CX216" s="8">
        <f t="shared" si="406"/>
        <v>244</v>
      </c>
      <c r="CY216" s="8">
        <f t="shared" si="406"/>
        <v>85</v>
      </c>
    </row>
    <row r="217" spans="1:103" x14ac:dyDescent="0.3">
      <c r="A217" s="10">
        <v>2020</v>
      </c>
      <c r="B217" s="8"/>
      <c r="C217" s="8">
        <f t="shared" ref="C217:BN217" si="407">C169/C71</f>
        <v>-0.24293785310734464</v>
      </c>
      <c r="D217" s="8">
        <f t="shared" si="407"/>
        <v>-6.7605633802816895E-2</v>
      </c>
      <c r="E217" s="8">
        <f t="shared" si="407"/>
        <v>-0.30188679245283018</v>
      </c>
      <c r="F217" s="8">
        <f t="shared" si="407"/>
        <v>0.5</v>
      </c>
      <c r="G217" s="8">
        <f t="shared" si="407"/>
        <v>2.4285714285714284</v>
      </c>
      <c r="H217" s="8">
        <f t="shared" si="407"/>
        <v>0.17647058823529413</v>
      </c>
      <c r="I217" s="8">
        <f t="shared" si="407"/>
        <v>-0.14035087719298245</v>
      </c>
      <c r="J217" s="8">
        <f t="shared" si="407"/>
        <v>0.15873015873015872</v>
      </c>
      <c r="K217" s="8">
        <f t="shared" si="407"/>
        <v>0.1038961038961039</v>
      </c>
      <c r="L217" s="8">
        <f t="shared" si="407"/>
        <v>9.4736842105263161E-2</v>
      </c>
      <c r="M217" s="8">
        <f t="shared" si="407"/>
        <v>0.16867469879518071</v>
      </c>
      <c r="N217" s="8">
        <f t="shared" si="407"/>
        <v>5.128205128205128E-2</v>
      </c>
      <c r="O217" s="8">
        <f t="shared" si="407"/>
        <v>-9.2165898617511521E-3</v>
      </c>
      <c r="P217" s="8">
        <f t="shared" si="407"/>
        <v>0.1038961038961039</v>
      </c>
      <c r="Q217" s="8">
        <f t="shared" si="407"/>
        <v>8.9285714285714288E-2</v>
      </c>
      <c r="R217" s="8">
        <f t="shared" si="407"/>
        <v>8.4656084656084651E-2</v>
      </c>
      <c r="S217" s="8">
        <f t="shared" si="407"/>
        <v>1.4018691588785047E-2</v>
      </c>
      <c r="T217" s="8">
        <f t="shared" si="407"/>
        <v>-0.42201834862385323</v>
      </c>
      <c r="U217" s="8">
        <f t="shared" si="407"/>
        <v>-6.3725490196078427E-2</v>
      </c>
      <c r="V217" s="8">
        <f t="shared" si="407"/>
        <v>0.61202185792349728</v>
      </c>
      <c r="W217" s="8">
        <f t="shared" si="407"/>
        <v>0.17391304347826086</v>
      </c>
      <c r="X217" s="8">
        <f t="shared" si="407"/>
        <v>0.10071942446043165</v>
      </c>
      <c r="Y217" s="8">
        <f t="shared" si="407"/>
        <v>1.9047619047619049E-2</v>
      </c>
      <c r="Z217" s="8">
        <f t="shared" si="407"/>
        <v>-3.4161490683229816E-2</v>
      </c>
      <c r="AA217" s="8">
        <f t="shared" si="407"/>
        <v>-4.9356223175965663E-2</v>
      </c>
      <c r="AB217" s="8">
        <f t="shared" si="407"/>
        <v>8.9686098654708519E-3</v>
      </c>
      <c r="AC217" s="8">
        <f t="shared" si="407"/>
        <v>6.024096385542169E-3</v>
      </c>
      <c r="AD217" s="8">
        <f t="shared" si="407"/>
        <v>5.5961070559610707E-2</v>
      </c>
      <c r="AE217" s="8">
        <f t="shared" si="407"/>
        <v>1.2461059190031152E-2</v>
      </c>
      <c r="AF217" s="8">
        <f t="shared" si="407"/>
        <v>3.6423841059602648E-2</v>
      </c>
      <c r="AG217" s="8">
        <f t="shared" si="407"/>
        <v>0.14102564102564102</v>
      </c>
      <c r="AH217" s="8">
        <f t="shared" si="407"/>
        <v>0.21084337349397592</v>
      </c>
      <c r="AI217" s="8">
        <f t="shared" si="407"/>
        <v>0.15081206496519722</v>
      </c>
      <c r="AJ217" s="8">
        <f t="shared" si="407"/>
        <v>0.2446043165467626</v>
      </c>
      <c r="AK217" s="8">
        <f t="shared" si="407"/>
        <v>0.12462006079027356</v>
      </c>
      <c r="AL217" s="8">
        <f t="shared" si="407"/>
        <v>0.17982456140350878</v>
      </c>
      <c r="AM217" s="8">
        <f t="shared" si="407"/>
        <v>0.87012987012987009</v>
      </c>
      <c r="AN217" s="8">
        <f t="shared" si="407"/>
        <v>0.40268456375838924</v>
      </c>
      <c r="AO217" s="8">
        <f t="shared" si="407"/>
        <v>0.33944954128440369</v>
      </c>
      <c r="AP217" s="8">
        <f t="shared" si="407"/>
        <v>0.33333333333333331</v>
      </c>
      <c r="AQ217" s="8">
        <f t="shared" si="407"/>
        <v>0.55284552845528456</v>
      </c>
      <c r="AR217" s="8">
        <f t="shared" si="407"/>
        <v>0.65217391304347827</v>
      </c>
      <c r="AS217" s="8">
        <f t="shared" si="407"/>
        <v>0.73043478260869565</v>
      </c>
      <c r="AT217" s="8">
        <f t="shared" si="407"/>
        <v>0.52229299363057324</v>
      </c>
      <c r="AU217" s="8">
        <f t="shared" si="407"/>
        <v>0.66666666666666663</v>
      </c>
      <c r="AV217" s="8">
        <f t="shared" si="407"/>
        <v>0.72463768115942029</v>
      </c>
      <c r="AW217" s="8">
        <f t="shared" si="407"/>
        <v>0.58278145695364236</v>
      </c>
      <c r="AX217" s="8">
        <f t="shared" si="407"/>
        <v>1.1616161616161615</v>
      </c>
      <c r="AY217" s="8">
        <f t="shared" si="407"/>
        <v>2.7037037037037037</v>
      </c>
      <c r="AZ217" s="8">
        <f t="shared" si="407"/>
        <v>1.8852459016393444</v>
      </c>
      <c r="BA217" s="8">
        <f t="shared" si="407"/>
        <v>1.9324324324324325</v>
      </c>
      <c r="BB217" s="8">
        <f t="shared" si="407"/>
        <v>2.581818181818182</v>
      </c>
      <c r="BC217" s="8">
        <f t="shared" si="407"/>
        <v>4.1842105263157894</v>
      </c>
      <c r="BD217" s="8">
        <f t="shared" si="407"/>
        <v>4.4102564102564106</v>
      </c>
      <c r="BE217" s="8">
        <f t="shared" si="407"/>
        <v>6.5357142857142856</v>
      </c>
      <c r="BF217" s="8">
        <f t="shared" si="407"/>
        <v>5.65</v>
      </c>
      <c r="BG217" s="8">
        <f t="shared" si="407"/>
        <v>15.266666666666667</v>
      </c>
      <c r="BH217" s="8">
        <f t="shared" si="407"/>
        <v>6.7058823529411766</v>
      </c>
      <c r="BI217" s="8">
        <f t="shared" si="407"/>
        <v>17.214285714285715</v>
      </c>
      <c r="BJ217" s="8">
        <f t="shared" si="407"/>
        <v>-10.84</v>
      </c>
      <c r="BK217" s="8">
        <f t="shared" si="407"/>
        <v>-25.636363636363637</v>
      </c>
      <c r="BL217" s="8">
        <f t="shared" si="407"/>
        <v>-85.25</v>
      </c>
      <c r="BM217" s="8">
        <f t="shared" si="407"/>
        <v>-17.38095238095238</v>
      </c>
      <c r="BN217" s="8">
        <f t="shared" si="407"/>
        <v>-9.2727272727272734</v>
      </c>
      <c r="BO217" s="8">
        <f t="shared" ref="BO217:CY217" si="408">BO169/BO71</f>
        <v>-12.085714285714285</v>
      </c>
      <c r="BP217" s="8">
        <f t="shared" si="408"/>
        <v>-6.8805970149253728</v>
      </c>
      <c r="BQ217" s="8">
        <f t="shared" si="408"/>
        <v>-14.918918918918919</v>
      </c>
      <c r="BR217" s="8">
        <f t="shared" si="408"/>
        <v>-11.4375</v>
      </c>
      <c r="BS217" s="8">
        <f t="shared" si="408"/>
        <v>-32.777777777777779</v>
      </c>
      <c r="BT217" s="8">
        <f t="shared" si="408"/>
        <v>-13.833333333333334</v>
      </c>
      <c r="BU217" s="8">
        <f t="shared" si="408"/>
        <v>-29.653846153846153</v>
      </c>
      <c r="BV217" s="8">
        <f t="shared" si="408"/>
        <v>-100.125</v>
      </c>
      <c r="BW217" s="8">
        <f t="shared" si="408"/>
        <v>41.727272727272727</v>
      </c>
      <c r="BX217" s="8">
        <f t="shared" si="408"/>
        <v>92.181818181818187</v>
      </c>
      <c r="BY217" s="8">
        <f t="shared" si="408"/>
        <v>47.772727272727273</v>
      </c>
      <c r="BZ217" s="8">
        <f t="shared" si="408"/>
        <v>55.333333333333336</v>
      </c>
      <c r="CA217" s="8">
        <f t="shared" si="408"/>
        <v>56.764705882352942</v>
      </c>
      <c r="CB217" s="8">
        <f t="shared" si="408"/>
        <v>49.65</v>
      </c>
      <c r="CC217" s="8">
        <f t="shared" si="408"/>
        <v>163.66666666666666</v>
      </c>
      <c r="CD217" s="8">
        <f t="shared" si="408"/>
        <v>155.14285714285714</v>
      </c>
      <c r="CE217" s="8">
        <f t="shared" si="408"/>
        <v>144</v>
      </c>
      <c r="CF217" s="8">
        <f t="shared" si="408"/>
        <v>89.307692307692307</v>
      </c>
      <c r="CG217" s="8">
        <f t="shared" si="408"/>
        <v>95.92307692307692</v>
      </c>
      <c r="CH217" s="8">
        <f t="shared" si="408"/>
        <v>105.41666666666667</v>
      </c>
      <c r="CI217" s="8">
        <f t="shared" si="408"/>
        <v>121.18181818181819</v>
      </c>
      <c r="CJ217" s="8">
        <f t="shared" si="408"/>
        <v>188</v>
      </c>
      <c r="CK217" s="8">
        <f t="shared" si="408"/>
        <v>332</v>
      </c>
      <c r="CL217" s="8">
        <f t="shared" si="408"/>
        <v>239.16666666666666</v>
      </c>
      <c r="CM217" s="8">
        <f t="shared" si="408"/>
        <v>1557</v>
      </c>
      <c r="CN217" s="8"/>
      <c r="CO217" s="8"/>
      <c r="CP217" s="8">
        <f t="shared" si="408"/>
        <v>1317</v>
      </c>
      <c r="CQ217" s="8">
        <f t="shared" si="408"/>
        <v>1233</v>
      </c>
      <c r="CR217" s="8"/>
      <c r="CS217" s="8"/>
      <c r="CT217" s="8">
        <f t="shared" si="408"/>
        <v>-830</v>
      </c>
      <c r="CU217" s="8"/>
      <c r="CV217" s="8" t="e">
        <f t="shared" si="408"/>
        <v>#DIV/0!</v>
      </c>
      <c r="CW217" s="8" t="e">
        <f t="shared" si="408"/>
        <v>#DIV/0!</v>
      </c>
      <c r="CX217" s="8">
        <f t="shared" si="408"/>
        <v>297</v>
      </c>
      <c r="CY217" s="8" t="e">
        <f t="shared" si="408"/>
        <v>#DIV/0!</v>
      </c>
    </row>
    <row r="218" spans="1:103" x14ac:dyDescent="0.3">
      <c r="A218" s="10">
        <v>2021</v>
      </c>
      <c r="B218" s="8"/>
      <c r="C218" s="8">
        <f t="shared" ref="C218:BN218" si="409">C170/C72</f>
        <v>0.52444444444444449</v>
      </c>
      <c r="D218" s="8">
        <f t="shared" si="409"/>
        <v>3.9513677811550151E-2</v>
      </c>
      <c r="E218" s="8">
        <f t="shared" si="409"/>
        <v>3.9886039886039885E-2</v>
      </c>
      <c r="F218" s="8">
        <f t="shared" si="409"/>
        <v>2.4242424242424242E-2</v>
      </c>
      <c r="G218" s="8">
        <f t="shared" si="409"/>
        <v>0.13235294117647059</v>
      </c>
      <c r="H218" s="8">
        <f t="shared" si="409"/>
        <v>9.6551724137931033E-2</v>
      </c>
      <c r="I218" s="8">
        <f t="shared" si="409"/>
        <v>1</v>
      </c>
      <c r="J218" s="8">
        <f t="shared" si="409"/>
        <v>-2.4539877300613498E-2</v>
      </c>
      <c r="K218" s="8">
        <f t="shared" si="409"/>
        <v>0.28260869565217389</v>
      </c>
      <c r="L218" s="8">
        <f t="shared" si="409"/>
        <v>-2.5380710659898477E-2</v>
      </c>
      <c r="M218" s="8">
        <f t="shared" si="409"/>
        <v>5.1612903225806452E-2</v>
      </c>
      <c r="N218" s="8">
        <f t="shared" si="409"/>
        <v>8.0168776371308023E-2</v>
      </c>
      <c r="O218" s="8">
        <f t="shared" si="409"/>
        <v>-1.0362694300518135E-2</v>
      </c>
      <c r="P218" s="8">
        <f t="shared" si="409"/>
        <v>4.4534412955465584E-2</v>
      </c>
      <c r="Q218" s="8">
        <f t="shared" si="409"/>
        <v>6.7226890756302518E-2</v>
      </c>
      <c r="R218" s="8">
        <f t="shared" si="409"/>
        <v>3.246753246753247E-3</v>
      </c>
      <c r="S218" s="8">
        <f t="shared" si="409"/>
        <v>9.5541401273885357E-2</v>
      </c>
      <c r="T218" s="8">
        <f t="shared" si="409"/>
        <v>-0.45276872964169379</v>
      </c>
      <c r="U218" s="8">
        <f t="shared" si="409"/>
        <v>-9.1286307053941904E-2</v>
      </c>
      <c r="V218" s="8">
        <f t="shared" si="409"/>
        <v>-5.3333333333333337E-2</v>
      </c>
      <c r="W218" s="8">
        <f t="shared" si="409"/>
        <v>3.9007092198581561E-2</v>
      </c>
      <c r="X218" s="8">
        <f t="shared" si="409"/>
        <v>0.43318965517241381</v>
      </c>
      <c r="Y218" s="8">
        <f t="shared" si="409"/>
        <v>1.0067114093959731E-2</v>
      </c>
      <c r="Z218" s="8">
        <f t="shared" si="409"/>
        <v>-3.9360393603936041E-2</v>
      </c>
      <c r="AA218" s="8">
        <f t="shared" si="409"/>
        <v>1.100762066045724E-2</v>
      </c>
      <c r="AB218" s="8">
        <f t="shared" si="409"/>
        <v>-5.2669552669552672E-2</v>
      </c>
      <c r="AC218" s="8">
        <f t="shared" si="409"/>
        <v>2.8231797919762259E-2</v>
      </c>
      <c r="AD218" s="8">
        <f t="shared" si="409"/>
        <v>4.4404973357015983E-3</v>
      </c>
      <c r="AE218" s="8">
        <f t="shared" si="409"/>
        <v>1.3192612137203167E-2</v>
      </c>
      <c r="AF218" s="8">
        <f t="shared" si="409"/>
        <v>1.006036217303823E-3</v>
      </c>
      <c r="AG218" s="8">
        <f t="shared" si="409"/>
        <v>5.4777070063694269E-2</v>
      </c>
      <c r="AH218" s="8">
        <f t="shared" si="409"/>
        <v>3.0640668523676879E-2</v>
      </c>
      <c r="AI218" s="8">
        <f t="shared" si="409"/>
        <v>0.20309477756286268</v>
      </c>
      <c r="AJ218" s="8">
        <f t="shared" si="409"/>
        <v>0.12727272727272726</v>
      </c>
      <c r="AK218" s="8">
        <f t="shared" si="409"/>
        <v>4.4811320754716978E-2</v>
      </c>
      <c r="AL218" s="8">
        <f t="shared" si="409"/>
        <v>0.2109704641350211</v>
      </c>
      <c r="AM218" s="8">
        <f t="shared" si="409"/>
        <v>5.5393586005830907E-2</v>
      </c>
      <c r="AN218" s="8">
        <f t="shared" si="409"/>
        <v>0.52542372881355937</v>
      </c>
      <c r="AO218" s="8">
        <f t="shared" si="409"/>
        <v>0.25570776255707761</v>
      </c>
      <c r="AP218" s="8">
        <f t="shared" si="409"/>
        <v>0.12234042553191489</v>
      </c>
      <c r="AQ218" s="8">
        <f t="shared" si="409"/>
        <v>0.71875</v>
      </c>
      <c r="AR218" s="8">
        <f t="shared" si="409"/>
        <v>0.34328358208955223</v>
      </c>
      <c r="AS218" s="8">
        <f t="shared" si="409"/>
        <v>0.75438596491228072</v>
      </c>
      <c r="AT218" s="8">
        <f t="shared" si="409"/>
        <v>0.27</v>
      </c>
      <c r="AU218" s="8">
        <f t="shared" si="409"/>
        <v>0.5</v>
      </c>
      <c r="AV218" s="8">
        <f t="shared" si="409"/>
        <v>0.6607142857142857</v>
      </c>
      <c r="AW218" s="8">
        <f t="shared" si="409"/>
        <v>0.62209302325581395</v>
      </c>
      <c r="AX218" s="8">
        <f t="shared" si="409"/>
        <v>0.7466666666666667</v>
      </c>
      <c r="AY218" s="8">
        <f t="shared" si="409"/>
        <v>2</v>
      </c>
      <c r="AZ218" s="8">
        <f t="shared" si="409"/>
        <v>0.85820895522388063</v>
      </c>
      <c r="BA218" s="8">
        <f t="shared" si="409"/>
        <v>1.0516129032258064</v>
      </c>
      <c r="BB218" s="8">
        <f t="shared" si="409"/>
        <v>1.0620689655172413</v>
      </c>
      <c r="BC218" s="8">
        <f t="shared" si="409"/>
        <v>2.161290322580645</v>
      </c>
      <c r="BD218" s="8">
        <f t="shared" si="409"/>
        <v>1.5894736842105264</v>
      </c>
      <c r="BE218" s="8">
        <f t="shared" si="409"/>
        <v>4.0217391304347823</v>
      </c>
      <c r="BF218" s="8">
        <f t="shared" si="409"/>
        <v>-10.681818181818182</v>
      </c>
      <c r="BG218" s="8">
        <f t="shared" si="409"/>
        <v>73.333333333333329</v>
      </c>
      <c r="BH218" s="8">
        <f t="shared" si="409"/>
        <v>-21.583333333333332</v>
      </c>
      <c r="BI218" s="8">
        <f t="shared" si="409"/>
        <v>23.545454545454547</v>
      </c>
      <c r="BJ218" s="8">
        <f t="shared" si="409"/>
        <v>11.681818181818182</v>
      </c>
      <c r="BK218" s="8">
        <f t="shared" si="409"/>
        <v>59.8</v>
      </c>
      <c r="BL218" s="8">
        <f t="shared" si="409"/>
        <v>-54</v>
      </c>
      <c r="BM218" s="8">
        <f t="shared" si="409"/>
        <v>-8.0212765957446805</v>
      </c>
      <c r="BN218" s="8">
        <f t="shared" si="409"/>
        <v>-7.8113207547169807</v>
      </c>
      <c r="BO218" s="8">
        <f t="shared" ref="BO218:CY218" si="410">BO170/BO72</f>
        <v>-10.51063829787234</v>
      </c>
      <c r="BP218" s="8">
        <f t="shared" si="410"/>
        <v>-10.170212765957446</v>
      </c>
      <c r="BQ218" s="8">
        <f t="shared" si="410"/>
        <v>-6.4457831325301207</v>
      </c>
      <c r="BR218" s="8">
        <f t="shared" si="410"/>
        <v>-7.4492753623188408</v>
      </c>
      <c r="BS218" s="8">
        <f t="shared" si="410"/>
        <v>-8.5633802816901401</v>
      </c>
      <c r="BT218" s="8">
        <f t="shared" si="410"/>
        <v>-42.857142857142854</v>
      </c>
      <c r="BU218" s="8">
        <f t="shared" si="410"/>
        <v>-72.8</v>
      </c>
      <c r="BV218" s="8">
        <f t="shared" si="410"/>
        <v>812</v>
      </c>
      <c r="BW218" s="8">
        <f t="shared" si="410"/>
        <v>918</v>
      </c>
      <c r="BX218" s="8">
        <f t="shared" si="410"/>
        <v>-139.14285714285714</v>
      </c>
      <c r="BY218" s="8">
        <f t="shared" si="410"/>
        <v>55.25</v>
      </c>
      <c r="BZ218" s="8">
        <f t="shared" si="410"/>
        <v>-61.388888888888886</v>
      </c>
      <c r="CA218" s="8">
        <f t="shared" si="410"/>
        <v>52.454545454545453</v>
      </c>
      <c r="CB218" s="8">
        <f t="shared" si="410"/>
        <v>229.4</v>
      </c>
      <c r="CC218" s="8">
        <f t="shared" si="410"/>
        <v>112.9</v>
      </c>
      <c r="CD218" s="8">
        <f t="shared" si="410"/>
        <v>90.63636363636364</v>
      </c>
      <c r="CE218" s="8">
        <f t="shared" si="410"/>
        <v>133.11111111111111</v>
      </c>
      <c r="CF218" s="8">
        <f t="shared" si="410"/>
        <v>97.769230769230774</v>
      </c>
      <c r="CG218" s="8"/>
      <c r="CH218" s="8">
        <f t="shared" si="410"/>
        <v>98.428571428571431</v>
      </c>
      <c r="CI218" s="8">
        <f t="shared" si="410"/>
        <v>-166.875</v>
      </c>
      <c r="CJ218" s="8">
        <f t="shared" si="410"/>
        <v>84.6875</v>
      </c>
      <c r="CK218" s="8">
        <f t="shared" si="410"/>
        <v>-752.5</v>
      </c>
      <c r="CL218" s="8">
        <f t="shared" si="410"/>
        <v>378.25</v>
      </c>
      <c r="CM218" s="8">
        <f t="shared" si="410"/>
        <v>-322.60000000000002</v>
      </c>
      <c r="CN218" s="8">
        <f t="shared" si="410"/>
        <v>1550</v>
      </c>
      <c r="CO218" s="8">
        <f t="shared" si="410"/>
        <v>1450</v>
      </c>
      <c r="CP218" s="8">
        <f t="shared" si="410"/>
        <v>-449.66666666666669</v>
      </c>
      <c r="CQ218" s="8">
        <f t="shared" si="410"/>
        <v>-1301</v>
      </c>
      <c r="CR218" s="8">
        <f t="shared" si="410"/>
        <v>582.5</v>
      </c>
      <c r="CS218" s="8">
        <f t="shared" si="410"/>
        <v>972</v>
      </c>
      <c r="CT218" s="8"/>
      <c r="CU218" s="8">
        <f t="shared" si="410"/>
        <v>-363.5</v>
      </c>
      <c r="CV218" s="8">
        <f t="shared" si="410"/>
        <v>525</v>
      </c>
      <c r="CW218" s="8">
        <f t="shared" si="410"/>
        <v>-403</v>
      </c>
      <c r="CX218" s="8" t="e">
        <f t="shared" si="410"/>
        <v>#DIV/0!</v>
      </c>
      <c r="CY218" s="8" t="e">
        <f t="shared" si="410"/>
        <v>#DIV/0!</v>
      </c>
    </row>
    <row r="219" spans="1:103" x14ac:dyDescent="0.3">
      <c r="A219" s="10">
        <v>2022</v>
      </c>
      <c r="B219" s="8"/>
      <c r="C219" s="8">
        <f t="shared" ref="C219:BN219" si="411">C171/C73</f>
        <v>2.5445292620865138E-2</v>
      </c>
      <c r="D219" s="8">
        <f t="shared" si="411"/>
        <v>-2.1716649431230611E-2</v>
      </c>
      <c r="E219" s="8">
        <f t="shared" si="411"/>
        <v>3.6934441366574329E-3</v>
      </c>
      <c r="F219" s="8">
        <f t="shared" si="411"/>
        <v>-7.7007700770077006E-3</v>
      </c>
      <c r="G219" s="8">
        <f t="shared" si="411"/>
        <v>2.7186761229314422E-2</v>
      </c>
      <c r="H219" s="8">
        <f t="shared" si="411"/>
        <v>1.0676156583629894E-2</v>
      </c>
      <c r="I219" s="8">
        <f t="shared" si="411"/>
        <v>1.444043321299639E-2</v>
      </c>
      <c r="J219" s="8">
        <f t="shared" si="411"/>
        <v>6.5217391304347823E-3</v>
      </c>
      <c r="K219" s="8">
        <f t="shared" si="411"/>
        <v>1.3157894736842105E-2</v>
      </c>
      <c r="L219" s="8">
        <f t="shared" si="411"/>
        <v>1.3129102844638949E-2</v>
      </c>
      <c r="M219" s="8">
        <f t="shared" si="411"/>
        <v>9.5744680851063829E-3</v>
      </c>
      <c r="N219" s="8">
        <f t="shared" si="411"/>
        <v>1.3590033975084938E-2</v>
      </c>
      <c r="O219" s="8">
        <f t="shared" si="411"/>
        <v>8.7241003271537627E-3</v>
      </c>
      <c r="P219" s="8">
        <f t="shared" si="411"/>
        <v>0</v>
      </c>
      <c r="Q219" s="8">
        <f t="shared" si="411"/>
        <v>3.0864197530864196E-3</v>
      </c>
      <c r="R219" s="8">
        <f t="shared" si="411"/>
        <v>1.6666666666666666E-2</v>
      </c>
      <c r="S219" s="8">
        <f t="shared" si="411"/>
        <v>2.9189189189189189E-2</v>
      </c>
      <c r="T219" s="8">
        <f t="shared" si="411"/>
        <v>1.0604453870625664E-3</v>
      </c>
      <c r="U219" s="8">
        <f t="shared" si="411"/>
        <v>7.8048780487804878E-3</v>
      </c>
      <c r="V219" s="8">
        <f t="shared" si="411"/>
        <v>3.3333333333333333E-2</v>
      </c>
      <c r="W219" s="8">
        <f t="shared" si="411"/>
        <v>3.798882681564246E-2</v>
      </c>
      <c r="X219" s="8">
        <f t="shared" si="411"/>
        <v>2.4514811031664963E-2</v>
      </c>
      <c r="Y219" s="8">
        <f t="shared" si="411"/>
        <v>1.9538188277087035E-2</v>
      </c>
      <c r="Z219" s="8">
        <f t="shared" si="411"/>
        <v>9.6439169139465875E-3</v>
      </c>
      <c r="AA219" s="8">
        <f t="shared" si="411"/>
        <v>3.7998733375554147E-3</v>
      </c>
      <c r="AB219" s="8">
        <f t="shared" si="411"/>
        <v>2.3153942428035045E-2</v>
      </c>
      <c r="AC219" s="8">
        <f t="shared" si="411"/>
        <v>-1.2360939431396785E-3</v>
      </c>
      <c r="AD219" s="8">
        <f t="shared" si="411"/>
        <v>3.1862745098039214E-2</v>
      </c>
      <c r="AE219" s="8">
        <f t="shared" si="411"/>
        <v>3.4702139965297862E-2</v>
      </c>
      <c r="AF219" s="8">
        <f t="shared" si="411"/>
        <v>1.2040939193257074E-3</v>
      </c>
      <c r="AG219" s="8">
        <f t="shared" si="411"/>
        <v>3.6069651741293535E-2</v>
      </c>
      <c r="AH219" s="8">
        <f t="shared" si="411"/>
        <v>2.4454725710508923E-2</v>
      </c>
      <c r="AI219" s="8">
        <f t="shared" si="411"/>
        <v>4.3165467625899283E-2</v>
      </c>
      <c r="AJ219" s="8">
        <f t="shared" si="411"/>
        <v>5.4239877769289534E-2</v>
      </c>
      <c r="AK219" s="8">
        <f t="shared" si="411"/>
        <v>2.2533022533022532E-2</v>
      </c>
      <c r="AL219" s="8">
        <f t="shared" si="411"/>
        <v>2.5041736227045076E-2</v>
      </c>
      <c r="AM219" s="8">
        <f t="shared" si="411"/>
        <v>5.5743243243243243E-2</v>
      </c>
      <c r="AN219" s="8">
        <f t="shared" si="411"/>
        <v>3.2258064516129031E-2</v>
      </c>
      <c r="AO219" s="8">
        <f t="shared" si="411"/>
        <v>5.1899907321594066E-2</v>
      </c>
      <c r="AP219" s="8">
        <f t="shared" si="411"/>
        <v>5.4133858267716536E-2</v>
      </c>
      <c r="AQ219" s="8">
        <f t="shared" si="411"/>
        <v>7.0158102766798416E-2</v>
      </c>
      <c r="AR219" s="8">
        <f t="shared" si="411"/>
        <v>7.0743405275779381E-2</v>
      </c>
      <c r="AS219" s="8">
        <f t="shared" si="411"/>
        <v>8.3832335329341312E-2</v>
      </c>
      <c r="AT219" s="8">
        <f t="shared" si="411"/>
        <v>0.13157894736842105</v>
      </c>
      <c r="AU219" s="8">
        <f t="shared" si="411"/>
        <v>0.10662824207492795</v>
      </c>
      <c r="AV219" s="8">
        <f t="shared" si="411"/>
        <v>0.14503816793893129</v>
      </c>
      <c r="AW219" s="8">
        <f t="shared" si="411"/>
        <v>0.13114754098360656</v>
      </c>
      <c r="AX219" s="8">
        <f t="shared" si="411"/>
        <v>0.23395445134575568</v>
      </c>
      <c r="AY219" s="8">
        <f t="shared" si="411"/>
        <v>0.22350674373795762</v>
      </c>
      <c r="AZ219" s="8">
        <f t="shared" si="411"/>
        <v>0.36749999999999999</v>
      </c>
      <c r="BA219" s="8">
        <f t="shared" si="411"/>
        <v>0.3911007025761124</v>
      </c>
      <c r="BB219" s="8">
        <f t="shared" si="411"/>
        <v>0.39943342776203966</v>
      </c>
      <c r="BC219" s="8">
        <f t="shared" si="411"/>
        <v>0.59490084985835689</v>
      </c>
      <c r="BD219" s="8">
        <f t="shared" si="411"/>
        <v>0.59523809523809523</v>
      </c>
      <c r="BE219" s="8">
        <f t="shared" si="411"/>
        <v>0.65705128205128205</v>
      </c>
      <c r="BF219" s="8">
        <f t="shared" si="411"/>
        <v>0.90157480314960625</v>
      </c>
      <c r="BG219" s="8">
        <f t="shared" si="411"/>
        <v>0.84528301886792456</v>
      </c>
      <c r="BH219" s="8">
        <f t="shared" si="411"/>
        <v>2.3596491228070176</v>
      </c>
      <c r="BI219" s="8">
        <f t="shared" si="411"/>
        <v>1.4736842105263157</v>
      </c>
      <c r="BJ219" s="8">
        <f t="shared" si="411"/>
        <v>1.375</v>
      </c>
      <c r="BK219" s="8">
        <f t="shared" si="411"/>
        <v>1.2424242424242424</v>
      </c>
      <c r="BL219" s="8">
        <f t="shared" si="411"/>
        <v>1.0993377483443709</v>
      </c>
      <c r="BM219" s="8">
        <f t="shared" si="411"/>
        <v>1.4428571428571428</v>
      </c>
      <c r="BN219" s="8">
        <f t="shared" si="411"/>
        <v>1.9066666666666667</v>
      </c>
      <c r="BO219" s="8">
        <f t="shared" ref="BO219:CY219" si="412">BO171/BO73</f>
        <v>1.8913043478260869</v>
      </c>
      <c r="BP219" s="8">
        <f t="shared" si="412"/>
        <v>2.7035175879396984</v>
      </c>
      <c r="BQ219" s="8">
        <f t="shared" si="412"/>
        <v>2.9210526315789473</v>
      </c>
      <c r="BR219" s="8">
        <f t="shared" si="412"/>
        <v>3.7564102564102564</v>
      </c>
      <c r="BS219" s="8">
        <f t="shared" si="412"/>
        <v>4.2236842105263159</v>
      </c>
      <c r="BT219" s="8">
        <f t="shared" si="412"/>
        <v>5.3358208955223878</v>
      </c>
      <c r="BU219" s="8">
        <f t="shared" si="412"/>
        <v>4.5779220779220777</v>
      </c>
      <c r="BV219" s="8">
        <f t="shared" si="412"/>
        <v>6.5703125</v>
      </c>
      <c r="BW219" s="8">
        <f t="shared" si="412"/>
        <v>4.9071038251366117</v>
      </c>
      <c r="BX219" s="8">
        <f t="shared" si="412"/>
        <v>6.8552631578947372</v>
      </c>
      <c r="BY219" s="8">
        <f t="shared" si="412"/>
        <v>8.1517241379310352</v>
      </c>
      <c r="BZ219" s="8">
        <f t="shared" si="412"/>
        <v>12.738317757009346</v>
      </c>
      <c r="CA219" s="8">
        <f t="shared" si="412"/>
        <v>12.660194174757281</v>
      </c>
      <c r="CB219" s="8">
        <f t="shared" si="412"/>
        <v>25.150943396226417</v>
      </c>
      <c r="CC219" s="8">
        <f t="shared" si="412"/>
        <v>20.950819672131146</v>
      </c>
      <c r="CD219" s="8">
        <f t="shared" si="412"/>
        <v>24.450980392156861</v>
      </c>
      <c r="CE219" s="8">
        <f t="shared" si="412"/>
        <v>21.714285714285715</v>
      </c>
      <c r="CF219" s="8">
        <f t="shared" si="412"/>
        <v>23.456140350877192</v>
      </c>
      <c r="CG219" s="8">
        <f t="shared" si="412"/>
        <v>41.428571428571431</v>
      </c>
      <c r="CH219" s="8">
        <f t="shared" si="412"/>
        <v>40.432432432432435</v>
      </c>
      <c r="CI219" s="8">
        <f t="shared" si="412"/>
        <v>53.714285714285715</v>
      </c>
      <c r="CJ219" s="8">
        <f t="shared" si="412"/>
        <v>47.090909090909093</v>
      </c>
      <c r="CK219" s="8">
        <f t="shared" si="412"/>
        <v>48.096774193548384</v>
      </c>
      <c r="CL219" s="8">
        <f t="shared" si="412"/>
        <v>94.411764705882348</v>
      </c>
      <c r="CM219" s="8">
        <f t="shared" si="412"/>
        <v>272</v>
      </c>
      <c r="CN219" s="8">
        <f t="shared" si="412"/>
        <v>282.66666666666669</v>
      </c>
      <c r="CO219" s="8">
        <f t="shared" si="412"/>
        <v>197.5</v>
      </c>
      <c r="CP219" s="8">
        <f t="shared" si="412"/>
        <v>1618</v>
      </c>
      <c r="CQ219" s="8">
        <f t="shared" si="412"/>
        <v>346.25</v>
      </c>
      <c r="CR219" s="8">
        <f t="shared" si="412"/>
        <v>-1280</v>
      </c>
      <c r="CS219" s="8">
        <f t="shared" si="412"/>
        <v>278.75</v>
      </c>
      <c r="CT219" s="8">
        <f t="shared" si="412"/>
        <v>-979</v>
      </c>
      <c r="CU219" s="8">
        <f t="shared" si="412"/>
        <v>263</v>
      </c>
      <c r="CV219" s="8" t="e">
        <f t="shared" si="412"/>
        <v>#DIV/0!</v>
      </c>
      <c r="CW219" s="8">
        <f t="shared" si="412"/>
        <v>224</v>
      </c>
      <c r="CX219" s="8">
        <f t="shared" si="412"/>
        <v>-282</v>
      </c>
      <c r="CY219" s="8" t="e">
        <f t="shared" si="412"/>
        <v>#DIV/0!</v>
      </c>
    </row>
    <row r="220" spans="1:103" x14ac:dyDescent="0.3">
      <c r="A220" s="8"/>
      <c r="B220" s="8" t="s">
        <v>22</v>
      </c>
      <c r="C220" s="8">
        <f t="shared" ref="C220" si="413">AVERAGE(C200:C219)</f>
        <v>0.16766302208518619</v>
      </c>
      <c r="D220" s="8">
        <f t="shared" ref="D220:BO220" si="414">AVERAGE(D200:D219)</f>
        <v>9.9704546251662991E-3</v>
      </c>
      <c r="E220" s="8">
        <f t="shared" si="414"/>
        <v>-6.9500600029794319E-3</v>
      </c>
      <c r="F220" s="8">
        <f t="shared" si="414"/>
        <v>5.5797257965881905E-2</v>
      </c>
      <c r="G220" s="8">
        <f t="shared" si="414"/>
        <v>0.16246684472493589</v>
      </c>
      <c r="H220" s="8">
        <f t="shared" si="414"/>
        <v>4.346257756486472E-2</v>
      </c>
      <c r="I220" s="8">
        <f t="shared" si="414"/>
        <v>5.913195129972959E-2</v>
      </c>
      <c r="J220" s="8">
        <f t="shared" si="414"/>
        <v>3.0434847634254809E-2</v>
      </c>
      <c r="K220" s="8">
        <f t="shared" si="414"/>
        <v>3.5618126703911665E-2</v>
      </c>
      <c r="L220" s="8">
        <f t="shared" si="414"/>
        <v>2.4060315814902741E-2</v>
      </c>
      <c r="M220" s="8">
        <f t="shared" si="414"/>
        <v>2.8816873259514798E-2</v>
      </c>
      <c r="N220" s="8">
        <f t="shared" si="414"/>
        <v>2.4510385028921475E-2</v>
      </c>
      <c r="O220" s="8">
        <f t="shared" si="414"/>
        <v>1.7822872145691171E-2</v>
      </c>
      <c r="P220" s="8">
        <f t="shared" si="414"/>
        <v>2.542872419029003E-2</v>
      </c>
      <c r="Q220" s="8">
        <f t="shared" si="414"/>
        <v>4.4064147664939969E-2</v>
      </c>
      <c r="R220" s="8">
        <f t="shared" si="414"/>
        <v>3.6722442124879837E-2</v>
      </c>
      <c r="S220" s="8">
        <f t="shared" si="414"/>
        <v>2.2913870685181466E-2</v>
      </c>
      <c r="T220" s="8">
        <f t="shared" si="414"/>
        <v>-3.3024236394442255E-2</v>
      </c>
      <c r="U220" s="8">
        <f t="shared" si="414"/>
        <v>2.2753904653361266E-2</v>
      </c>
      <c r="V220" s="8">
        <f t="shared" si="414"/>
        <v>6.930032976292233E-2</v>
      </c>
      <c r="W220" s="8">
        <f t="shared" si="414"/>
        <v>2.0956244108986357E-2</v>
      </c>
      <c r="X220" s="8">
        <f t="shared" si="414"/>
        <v>4.0334865380765167E-2</v>
      </c>
      <c r="Y220" s="8">
        <f t="shared" si="414"/>
        <v>1.9224341203324516E-2</v>
      </c>
      <c r="Z220" s="8">
        <f t="shared" si="414"/>
        <v>7.1596661200490682E-3</v>
      </c>
      <c r="AA220" s="8">
        <f t="shared" si="414"/>
        <v>1.8247298803659346E-2</v>
      </c>
      <c r="AB220" s="8">
        <f t="shared" si="414"/>
        <v>1.9519148976446216E-2</v>
      </c>
      <c r="AC220" s="8">
        <f t="shared" si="414"/>
        <v>2.3456914133456609E-2</v>
      </c>
      <c r="AD220" s="8">
        <f t="shared" si="414"/>
        <v>3.1825894584522695E-2</v>
      </c>
      <c r="AE220" s="8">
        <f t="shared" si="414"/>
        <v>3.3794330233842318E-2</v>
      </c>
      <c r="AF220" s="8">
        <f t="shared" si="414"/>
        <v>3.4375240951454694E-2</v>
      </c>
      <c r="AG220" s="8">
        <f t="shared" si="414"/>
        <v>4.9749128567336688E-2</v>
      </c>
      <c r="AH220" s="8">
        <f t="shared" si="414"/>
        <v>9.1770421485141737E-2</v>
      </c>
      <c r="AI220" s="8">
        <f t="shared" si="414"/>
        <v>0.1019436864654989</v>
      </c>
      <c r="AJ220" s="8">
        <f t="shared" si="414"/>
        <v>9.514853118931571E-2</v>
      </c>
      <c r="AK220" s="8">
        <f>AVERAGE(AK200:AK219)</f>
        <v>0.10095091572106256</v>
      </c>
      <c r="AL220" s="8">
        <f>AVERAGE(AL200:AL219)</f>
        <v>0.12210386812519398</v>
      </c>
      <c r="AM220" s="8">
        <f t="shared" si="414"/>
        <v>0.15395665795338032</v>
      </c>
      <c r="AN220" s="8">
        <f t="shared" si="414"/>
        <v>0.17313887685344487</v>
      </c>
      <c r="AO220" s="8">
        <f t="shared" si="414"/>
        <v>0.18753136608251714</v>
      </c>
      <c r="AP220" s="8">
        <f t="shared" si="414"/>
        <v>0.19368732866807573</v>
      </c>
      <c r="AQ220" s="8">
        <f t="shared" si="414"/>
        <v>0.27118649657412336</v>
      </c>
      <c r="AR220" s="8">
        <f t="shared" si="414"/>
        <v>0.29396565190213264</v>
      </c>
      <c r="AS220" s="8">
        <f t="shared" si="414"/>
        <v>0.38007344285520928</v>
      </c>
      <c r="AT220" s="8">
        <f t="shared" si="414"/>
        <v>0.34485191071074678</v>
      </c>
      <c r="AU220" s="8">
        <f t="shared" si="414"/>
        <v>0.45925537348298573</v>
      </c>
      <c r="AV220" s="14"/>
      <c r="AW220" s="8">
        <f t="shared" si="414"/>
        <v>0.66808694050477058</v>
      </c>
      <c r="AX220" s="8">
        <f t="shared" si="414"/>
        <v>0.84604070690164068</v>
      </c>
      <c r="AY220" s="8">
        <f t="shared" si="414"/>
        <v>1.1847330903351752</v>
      </c>
      <c r="AZ220" s="8">
        <f t="shared" si="414"/>
        <v>1.4367626269975207</v>
      </c>
      <c r="BA220" s="8">
        <f t="shared" si="414"/>
        <v>1.9464333246430265</v>
      </c>
      <c r="BB220" s="8">
        <f t="shared" si="414"/>
        <v>-1.2477794089585443</v>
      </c>
      <c r="BC220" s="8">
        <f t="shared" si="414"/>
        <v>1.1620085960212525</v>
      </c>
      <c r="BD220" s="8">
        <f t="shared" si="414"/>
        <v>0.68316714530769285</v>
      </c>
      <c r="BE220" s="8">
        <f t="shared" si="414"/>
        <v>5.353216243605706</v>
      </c>
      <c r="BF220" s="8">
        <f t="shared" si="414"/>
        <v>-0.50255216329574293</v>
      </c>
      <c r="BG220" s="8">
        <f t="shared" si="414"/>
        <v>1.5286415180733486</v>
      </c>
      <c r="BH220" s="8">
        <f t="shared" si="414"/>
        <v>6.4081502176509684</v>
      </c>
      <c r="BI220" s="8">
        <f t="shared" si="414"/>
        <v>6.5143516158450196E-2</v>
      </c>
      <c r="BJ220" s="8">
        <f t="shared" si="414"/>
        <v>-1.8407504809997963</v>
      </c>
      <c r="BK220" s="8">
        <f t="shared" si="414"/>
        <v>-0.17150333417554187</v>
      </c>
      <c r="BL220" s="8">
        <f t="shared" si="414"/>
        <v>-8.6464837556024108</v>
      </c>
      <c r="BM220" s="8">
        <f t="shared" si="414"/>
        <v>-10.527085825350978</v>
      </c>
      <c r="BN220" s="8">
        <f t="shared" si="414"/>
        <v>-24.330922084796562</v>
      </c>
      <c r="BO220" s="8">
        <f t="shared" si="414"/>
        <v>-1.8890828148994199</v>
      </c>
      <c r="BP220" s="8">
        <f t="shared" ref="BP220:CT220" si="415">AVERAGE(BP200:BP219)</f>
        <v>-19.617660976471932</v>
      </c>
      <c r="BQ220" s="8">
        <f t="shared" si="415"/>
        <v>-32.806963725886988</v>
      </c>
      <c r="BR220" s="8">
        <f t="shared" si="415"/>
        <v>-50.443474172829909</v>
      </c>
      <c r="BS220" s="8">
        <f t="shared" si="415"/>
        <v>-54.418360900986933</v>
      </c>
      <c r="BT220" s="8">
        <f t="shared" si="415"/>
        <v>7.7050173394482071</v>
      </c>
      <c r="BU220" s="8">
        <f t="shared" si="415"/>
        <v>-50.361032678070721</v>
      </c>
      <c r="BV220" s="8">
        <f t="shared" si="415"/>
        <v>49.402031913038392</v>
      </c>
      <c r="BW220" s="8">
        <f t="shared" si="415"/>
        <v>132.86913903850919</v>
      </c>
      <c r="BX220" s="8">
        <f t="shared" si="415"/>
        <v>23.597019239157095</v>
      </c>
      <c r="BY220" s="8">
        <f t="shared" si="415"/>
        <v>67.35533661102626</v>
      </c>
      <c r="BZ220" s="8">
        <f t="shared" si="415"/>
        <v>62.426261125945715</v>
      </c>
      <c r="CA220" s="8">
        <f t="shared" si="415"/>
        <v>108.24721618342278</v>
      </c>
      <c r="CB220" s="8">
        <f t="shared" si="415"/>
        <v>109.75130746288085</v>
      </c>
      <c r="CC220" s="8">
        <f t="shared" si="415"/>
        <v>33.737651012466578</v>
      </c>
      <c r="CD220" s="8">
        <f t="shared" si="415"/>
        <v>57.056828329622441</v>
      </c>
      <c r="CE220" s="8">
        <f t="shared" si="415"/>
        <v>305.87997243769297</v>
      </c>
      <c r="CF220" s="8">
        <f t="shared" si="415"/>
        <v>207.20456983805667</v>
      </c>
      <c r="CG220" s="8">
        <f t="shared" si="415"/>
        <v>-61.651826414326415</v>
      </c>
      <c r="CH220" s="8">
        <f t="shared" si="415"/>
        <v>84.43208215050322</v>
      </c>
      <c r="CI220" s="8">
        <f t="shared" si="415"/>
        <v>514.04784090909084</v>
      </c>
      <c r="CJ220" s="8">
        <f t="shared" si="415"/>
        <v>32.738946007696001</v>
      </c>
      <c r="CK220" s="8">
        <f t="shared" si="415"/>
        <v>186.91908704830905</v>
      </c>
      <c r="CL220" s="8">
        <f t="shared" si="415"/>
        <v>213.43623560535323</v>
      </c>
      <c r="CM220" s="8">
        <f t="shared" si="415"/>
        <v>423.7157894736842</v>
      </c>
      <c r="CN220" s="8">
        <f t="shared" si="415"/>
        <v>275.85434173669472</v>
      </c>
      <c r="CO220" s="8">
        <f t="shared" si="415"/>
        <v>165.66666666666666</v>
      </c>
      <c r="CP220" s="8">
        <f t="shared" si="415"/>
        <v>-123.14803921568628</v>
      </c>
      <c r="CQ220" s="8">
        <f t="shared" si="415"/>
        <v>-143.15740740740739</v>
      </c>
      <c r="CR220" s="8">
        <f t="shared" si="415"/>
        <v>-232.00937499999998</v>
      </c>
      <c r="CS220" s="8">
        <f t="shared" si="415"/>
        <v>67.770833333333329</v>
      </c>
      <c r="CT220" s="8">
        <f t="shared" si="415"/>
        <v>-157.80952380952382</v>
      </c>
      <c r="CU220" s="8"/>
      <c r="CV220" s="8"/>
      <c r="CW220" s="8"/>
      <c r="CX220" s="8"/>
      <c r="CY220" s="8"/>
    </row>
    <row r="221" spans="1:103" x14ac:dyDescent="0.3">
      <c r="B221" t="s">
        <v>23</v>
      </c>
      <c r="C221" s="8">
        <f t="shared" ref="C221" si="416">MEDIAN(C200:C219)</f>
        <v>0.12162951055459198</v>
      </c>
      <c r="D221" s="8">
        <f t="shared" ref="D221:BO221" si="417">MEDIAN(D200:D219)</f>
        <v>1.4096508594482398E-2</v>
      </c>
      <c r="E221" s="8">
        <f t="shared" si="417"/>
        <v>8.3356793299062502E-3</v>
      </c>
      <c r="F221" s="8">
        <f t="shared" si="417"/>
        <v>1.3927684667908131E-2</v>
      </c>
      <c r="G221" s="8">
        <f t="shared" si="417"/>
        <v>2.9549420910677457E-2</v>
      </c>
      <c r="H221" s="8">
        <f t="shared" si="417"/>
        <v>2.4774084551312275E-2</v>
      </c>
      <c r="I221" s="8">
        <f t="shared" si="417"/>
        <v>1.6558855685131196E-2</v>
      </c>
      <c r="J221" s="8">
        <f t="shared" si="417"/>
        <v>2.454138153935314E-2</v>
      </c>
      <c r="K221" s="8">
        <f t="shared" si="417"/>
        <v>1.2676508344030809E-2</v>
      </c>
      <c r="L221" s="8">
        <f t="shared" si="417"/>
        <v>2.007168458781362E-2</v>
      </c>
      <c r="M221" s="8">
        <f t="shared" si="417"/>
        <v>2.157506430215243E-2</v>
      </c>
      <c r="N221" s="8">
        <f t="shared" si="417"/>
        <v>1.3701094335608767E-2</v>
      </c>
      <c r="O221" s="8">
        <f t="shared" si="417"/>
        <v>8.3113251514680755E-3</v>
      </c>
      <c r="P221" s="8">
        <f t="shared" si="417"/>
        <v>2.4395302130632204E-2</v>
      </c>
      <c r="Q221" s="8">
        <f t="shared" si="417"/>
        <v>4.293673616103523E-2</v>
      </c>
      <c r="R221" s="8">
        <f t="shared" si="417"/>
        <v>2.6020824826459781E-2</v>
      </c>
      <c r="S221" s="8">
        <f t="shared" si="417"/>
        <v>1.7557869001143579E-2</v>
      </c>
      <c r="T221" s="8">
        <f t="shared" si="417"/>
        <v>8.0844150401058312E-3</v>
      </c>
      <c r="U221" s="8">
        <f t="shared" si="417"/>
        <v>2.7573458341387976E-2</v>
      </c>
      <c r="V221" s="8">
        <f t="shared" si="417"/>
        <v>3.615738542743039E-2</v>
      </c>
      <c r="W221" s="8">
        <f t="shared" si="417"/>
        <v>1.8420586881880287E-2</v>
      </c>
      <c r="X221" s="8">
        <f t="shared" si="417"/>
        <v>1.5195155843242103E-2</v>
      </c>
      <c r="Y221" s="8">
        <f t="shared" si="417"/>
        <v>1.5804794856213122E-2</v>
      </c>
      <c r="Z221" s="8">
        <f t="shared" si="417"/>
        <v>1.0291486696287006E-2</v>
      </c>
      <c r="AA221" s="8">
        <f t="shared" si="417"/>
        <v>1.0928765122272019E-2</v>
      </c>
      <c r="AB221" s="8">
        <f t="shared" si="417"/>
        <v>1.6871383065659343E-2</v>
      </c>
      <c r="AC221" s="8">
        <f t="shared" si="417"/>
        <v>1.6301910964022632E-2</v>
      </c>
      <c r="AD221" s="8">
        <f t="shared" si="417"/>
        <v>3.1194882601058252E-2</v>
      </c>
      <c r="AE221" s="8">
        <f t="shared" si="417"/>
        <v>2.3615286381699491E-2</v>
      </c>
      <c r="AF221" s="8">
        <f t="shared" si="417"/>
        <v>2.9694527453288658E-2</v>
      </c>
      <c r="AG221" s="8">
        <f t="shared" si="417"/>
        <v>3.8238708710957983E-2</v>
      </c>
      <c r="AH221" s="8">
        <f t="shared" si="417"/>
        <v>6.7982758620689657E-2</v>
      </c>
      <c r="AI221" s="8">
        <f t="shared" si="417"/>
        <v>7.5620955518327163E-2</v>
      </c>
      <c r="AJ221" s="8">
        <f t="shared" si="417"/>
        <v>5.6655803863547724E-2</v>
      </c>
      <c r="AK221" s="8">
        <f>MEDIAN(AK200:AK219)</f>
        <v>7.0511695906432748E-2</v>
      </c>
      <c r="AL221" s="8">
        <f>MEDIAN(AL200:AL219)</f>
        <v>7.9865364317661142E-2</v>
      </c>
      <c r="AM221" s="8">
        <f t="shared" si="417"/>
        <v>6.6142825176820824E-2</v>
      </c>
      <c r="AN221" s="8">
        <f t="shared" si="417"/>
        <v>0.12418989808371757</v>
      </c>
      <c r="AO221" s="8">
        <f t="shared" si="417"/>
        <v>0.1120423949303134</v>
      </c>
      <c r="AP221" s="8">
        <f t="shared" si="417"/>
        <v>0.13262424598302461</v>
      </c>
      <c r="AQ221" s="8">
        <f t="shared" si="417"/>
        <v>0.15494637473019393</v>
      </c>
      <c r="AR221" s="8">
        <f t="shared" si="417"/>
        <v>0.14769039256657629</v>
      </c>
      <c r="AS221" s="8">
        <f t="shared" si="417"/>
        <v>0.24018181818181816</v>
      </c>
      <c r="AT221" s="8">
        <f t="shared" si="417"/>
        <v>0.22368968684520221</v>
      </c>
      <c r="AU221" s="8">
        <f t="shared" si="417"/>
        <v>0.34385202870827158</v>
      </c>
      <c r="AV221" s="8">
        <f t="shared" si="417"/>
        <v>0.32234829435923229</v>
      </c>
      <c r="AW221" s="8">
        <f t="shared" si="417"/>
        <v>0.43711171215474143</v>
      </c>
      <c r="AX221" s="8">
        <f t="shared" si="417"/>
        <v>0.54759118608142709</v>
      </c>
      <c r="AY221" s="8">
        <f t="shared" si="417"/>
        <v>0.69548160173160167</v>
      </c>
      <c r="AZ221" s="8">
        <f t="shared" si="417"/>
        <v>0.86260134120708631</v>
      </c>
      <c r="BA221" s="8">
        <f t="shared" si="417"/>
        <v>1.0171359313816892</v>
      </c>
      <c r="BB221" s="8">
        <f t="shared" si="417"/>
        <v>1.1717755928282245</v>
      </c>
      <c r="BC221" s="8">
        <f t="shared" si="417"/>
        <v>1.5993579705606011</v>
      </c>
      <c r="BD221" s="8">
        <f t="shared" si="417"/>
        <v>1.5725146198830409</v>
      </c>
      <c r="BE221" s="8">
        <f t="shared" si="417"/>
        <v>2.1412997903563942</v>
      </c>
      <c r="BF221" s="8">
        <f t="shared" si="417"/>
        <v>2.3245539507221746</v>
      </c>
      <c r="BG221" s="8">
        <f t="shared" si="417"/>
        <v>2.5582242990654205</v>
      </c>
      <c r="BH221" s="8">
        <f t="shared" si="417"/>
        <v>3.0889273769708554</v>
      </c>
      <c r="BI221" s="8">
        <f t="shared" si="417"/>
        <v>4.2125000000000004</v>
      </c>
      <c r="BJ221" s="8">
        <f t="shared" si="417"/>
        <v>2.7104885057471266</v>
      </c>
      <c r="BK221" s="8">
        <f t="shared" si="417"/>
        <v>3.2809343434343434</v>
      </c>
      <c r="BL221" s="8">
        <f t="shared" si="417"/>
        <v>-8.2018633540372665</v>
      </c>
      <c r="BM221" s="8">
        <f t="shared" si="417"/>
        <v>-10.417669172932332</v>
      </c>
      <c r="BN221" s="8">
        <f t="shared" si="417"/>
        <v>-11.588235294117647</v>
      </c>
      <c r="BO221" s="8">
        <f t="shared" si="417"/>
        <v>-13.742424242424242</v>
      </c>
      <c r="BP221" s="8">
        <f t="shared" ref="BP221:CT221" si="418">MEDIAN(BP200:BP219)</f>
        <v>-17.392857142857146</v>
      </c>
      <c r="BQ221" s="8">
        <f t="shared" si="418"/>
        <v>-25.103715170278637</v>
      </c>
      <c r="BR221" s="8">
        <f t="shared" si="418"/>
        <v>-18.192156862745097</v>
      </c>
      <c r="BS221" s="8">
        <f t="shared" si="418"/>
        <v>-26.921052631578945</v>
      </c>
      <c r="BT221" s="8">
        <f t="shared" si="418"/>
        <v>-22.12</v>
      </c>
      <c r="BU221" s="8">
        <f t="shared" si="418"/>
        <v>-27.25</v>
      </c>
      <c r="BV221" s="8">
        <f t="shared" si="418"/>
        <v>41.071428571428569</v>
      </c>
      <c r="BW221" s="8">
        <f t="shared" si="418"/>
        <v>45.214285714285715</v>
      </c>
      <c r="BX221" s="8">
        <f t="shared" si="418"/>
        <v>50.588235294117645</v>
      </c>
      <c r="BY221" s="8">
        <f t="shared" si="418"/>
        <v>34.36</v>
      </c>
      <c r="BZ221" s="8">
        <f t="shared" si="418"/>
        <v>60.083333333333329</v>
      </c>
      <c r="CA221" s="8">
        <f t="shared" si="418"/>
        <v>63</v>
      </c>
      <c r="CB221" s="8">
        <f t="shared" si="418"/>
        <v>81.458333333333343</v>
      </c>
      <c r="CC221" s="8">
        <f t="shared" si="418"/>
        <v>95.383333333333326</v>
      </c>
      <c r="CD221" s="8">
        <f t="shared" si="418"/>
        <v>91.664335664335667</v>
      </c>
      <c r="CE221" s="8">
        <f t="shared" si="418"/>
        <v>162.64285714285714</v>
      </c>
      <c r="CF221" s="8">
        <f t="shared" si="418"/>
        <v>154.16249999999999</v>
      </c>
      <c r="CG221" s="8">
        <f t="shared" si="418"/>
        <v>136.66666666666666</v>
      </c>
      <c r="CH221" s="8">
        <f t="shared" si="418"/>
        <v>173.6</v>
      </c>
      <c r="CI221" s="8">
        <f t="shared" si="418"/>
        <v>423.5</v>
      </c>
      <c r="CJ221" s="8">
        <f t="shared" si="418"/>
        <v>176.33333333333331</v>
      </c>
      <c r="CK221" s="8">
        <f t="shared" si="418"/>
        <v>287.83333333333331</v>
      </c>
      <c r="CL221" s="8">
        <f t="shared" si="418"/>
        <v>346.72500000000002</v>
      </c>
      <c r="CM221" s="8">
        <f t="shared" si="418"/>
        <v>306.33333333333331</v>
      </c>
      <c r="CN221" s="8">
        <f t="shared" si="418"/>
        <v>477</v>
      </c>
      <c r="CO221" s="8">
        <f t="shared" si="418"/>
        <v>430.66666666666669</v>
      </c>
      <c r="CP221" s="8">
        <f t="shared" si="418"/>
        <v>-265.66666666666669</v>
      </c>
      <c r="CQ221" s="8">
        <f t="shared" si="418"/>
        <v>-101.375</v>
      </c>
      <c r="CR221" s="8">
        <f t="shared" si="418"/>
        <v>-491.5</v>
      </c>
      <c r="CS221" s="8">
        <f t="shared" si="418"/>
        <v>266.04166666666669</v>
      </c>
      <c r="CT221" s="8">
        <f t="shared" si="418"/>
        <v>-385.16666666666669</v>
      </c>
      <c r="CU221" s="8"/>
    </row>
    <row r="222" spans="1:103" x14ac:dyDescent="0.3">
      <c r="B222" t="s">
        <v>30</v>
      </c>
      <c r="D222" s="8">
        <f t="shared" ref="D222:BO222" si="419">D220/D221</f>
        <v>0.70729958119338121</v>
      </c>
      <c r="E222" s="8">
        <f t="shared" si="419"/>
        <v>-0.83377247707267521</v>
      </c>
      <c r="F222" s="8">
        <f t="shared" si="419"/>
        <v>4.0062120371269421</v>
      </c>
      <c r="G222" s="8">
        <f t="shared" si="419"/>
        <v>5.4981397170538031</v>
      </c>
      <c r="H222" s="8">
        <f t="shared" si="419"/>
        <v>1.7543565525032698</v>
      </c>
      <c r="I222" s="8">
        <f t="shared" si="419"/>
        <v>3.5710167673498319</v>
      </c>
      <c r="J222" s="8">
        <f t="shared" si="419"/>
        <v>1.2401440230840814</v>
      </c>
      <c r="K222" s="8">
        <f t="shared" si="419"/>
        <v>2.8097742483389556</v>
      </c>
      <c r="L222" s="8">
        <f t="shared" si="419"/>
        <v>1.1987193057781902</v>
      </c>
      <c r="M222" s="8">
        <f t="shared" si="419"/>
        <v>1.3356564252112051</v>
      </c>
      <c r="N222" s="8">
        <f t="shared" si="419"/>
        <v>1.7889363016222477</v>
      </c>
      <c r="O222" s="8">
        <f t="shared" si="419"/>
        <v>2.1444080000339079</v>
      </c>
      <c r="P222" s="8">
        <f t="shared" si="419"/>
        <v>1.0423615192025106</v>
      </c>
      <c r="Q222" s="8">
        <f t="shared" si="419"/>
        <v>1.0262575035903139</v>
      </c>
      <c r="R222" s="8">
        <f t="shared" si="419"/>
        <v>1.4112712556113098</v>
      </c>
      <c r="S222" s="8">
        <f t="shared" si="419"/>
        <v>1.3050485046726936</v>
      </c>
      <c r="T222" s="8">
        <f t="shared" si="419"/>
        <v>-4.0849259013315011</v>
      </c>
      <c r="U222" s="8">
        <f t="shared" si="419"/>
        <v>0.82521040239654952</v>
      </c>
      <c r="V222" s="8">
        <f t="shared" si="419"/>
        <v>1.9166300036270991</v>
      </c>
      <c r="W222" s="8">
        <f t="shared" si="419"/>
        <v>1.1376534441256219</v>
      </c>
      <c r="X222" s="8">
        <f t="shared" si="419"/>
        <v>2.6544555249628257</v>
      </c>
      <c r="Y222" s="8">
        <f t="shared" si="419"/>
        <v>1.2163613244095424</v>
      </c>
      <c r="Z222" s="8">
        <f t="shared" si="419"/>
        <v>0.69568822574800138</v>
      </c>
      <c r="AA222" s="8">
        <f t="shared" si="419"/>
        <v>1.6696578798708643</v>
      </c>
      <c r="AB222" s="8">
        <f t="shared" si="419"/>
        <v>1.1569382842226039</v>
      </c>
      <c r="AC222" s="8">
        <f t="shared" si="419"/>
        <v>1.4389057936351544</v>
      </c>
      <c r="AD222" s="8">
        <f t="shared" si="419"/>
        <v>1.0202280608500522</v>
      </c>
      <c r="AE222" s="8">
        <f t="shared" si="419"/>
        <v>1.4310362232164591</v>
      </c>
      <c r="AF222" s="8">
        <f t="shared" si="419"/>
        <v>1.1576288259016443</v>
      </c>
      <c r="AG222" s="8">
        <f t="shared" si="419"/>
        <v>1.301014868032931</v>
      </c>
      <c r="AH222" s="8">
        <f t="shared" si="419"/>
        <v>1.3499072904230842</v>
      </c>
      <c r="AI222" s="8">
        <f t="shared" si="419"/>
        <v>1.3480877855450037</v>
      </c>
      <c r="AJ222" s="8">
        <f t="shared" si="419"/>
        <v>1.6794136646348805</v>
      </c>
      <c r="AK222" s="8">
        <f t="shared" si="419"/>
        <v>1.4316903660212894</v>
      </c>
      <c r="AL222" s="8">
        <f t="shared" si="419"/>
        <v>1.5288713595486896</v>
      </c>
      <c r="AM222" s="8">
        <f t="shared" si="419"/>
        <v>2.3276395820983633</v>
      </c>
      <c r="AN222" s="8">
        <f t="shared" si="419"/>
        <v>1.3941462190163836</v>
      </c>
      <c r="AO222" s="8">
        <f t="shared" si="419"/>
        <v>1.6737536376222173</v>
      </c>
      <c r="AP222" s="8">
        <f t="shared" si="419"/>
        <v>1.4604217142381866</v>
      </c>
      <c r="AQ222" s="8">
        <f t="shared" si="419"/>
        <v>1.7501958148187513</v>
      </c>
      <c r="AR222" s="8">
        <f t="shared" si="419"/>
        <v>1.9904182445017065</v>
      </c>
      <c r="AS222" s="8">
        <f t="shared" si="419"/>
        <v>1.5824405266492438</v>
      </c>
      <c r="AT222" s="8">
        <f t="shared" si="419"/>
        <v>1.5416531516242467</v>
      </c>
      <c r="AU222" s="8">
        <f t="shared" si="419"/>
        <v>1.3356192057619756</v>
      </c>
      <c r="AV222" s="8">
        <f t="shared" si="419"/>
        <v>0</v>
      </c>
      <c r="AW222" s="8">
        <f t="shared" si="419"/>
        <v>1.5284123530148326</v>
      </c>
      <c r="AX222" s="8">
        <f t="shared" si="419"/>
        <v>1.5450225065818244</v>
      </c>
      <c r="AY222" s="8">
        <f t="shared" si="419"/>
        <v>1.7034715043294331</v>
      </c>
      <c r="AZ222" s="8">
        <f t="shared" si="419"/>
        <v>1.6656160364728605</v>
      </c>
      <c r="BA222" s="8">
        <f t="shared" si="419"/>
        <v>1.9136412986600218</v>
      </c>
      <c r="BB222" s="8">
        <f t="shared" si="419"/>
        <v>-1.0648620918506035</v>
      </c>
      <c r="BC222" s="8">
        <f t="shared" si="419"/>
        <v>0.72654691283024619</v>
      </c>
      <c r="BD222" s="8">
        <f t="shared" si="419"/>
        <v>0.43444247619046295</v>
      </c>
      <c r="BE222" s="8">
        <f t="shared" si="419"/>
        <v>2.4999844803210514</v>
      </c>
      <c r="BF222" s="8">
        <f t="shared" si="419"/>
        <v>-0.21619294451721108</v>
      </c>
      <c r="BG222" s="8">
        <f t="shared" si="419"/>
        <v>0.59754006661253167</v>
      </c>
      <c r="BH222" s="8">
        <f t="shared" si="419"/>
        <v>2.0745551564035463</v>
      </c>
      <c r="BI222" s="8">
        <f t="shared" si="419"/>
        <v>1.5464336180047522E-2</v>
      </c>
      <c r="BJ222" s="8">
        <f t="shared" si="419"/>
        <v>-0.67912130123289594</v>
      </c>
      <c r="BK222" s="8">
        <f t="shared" si="419"/>
        <v>-5.2272711436224424E-2</v>
      </c>
      <c r="BL222" s="8">
        <f t="shared" si="419"/>
        <v>1.0542096816751141</v>
      </c>
      <c r="BM222" s="8">
        <f t="shared" si="419"/>
        <v>1.0105029878183249</v>
      </c>
      <c r="BN222" s="8">
        <f t="shared" si="419"/>
        <v>2.0996227179773683</v>
      </c>
      <c r="BO222" s="8">
        <f t="shared" si="419"/>
        <v>0.13746357859246056</v>
      </c>
      <c r="BP222" s="8">
        <f t="shared" ref="BP222:CT222" si="420">BP220/BP221</f>
        <v>1.1279147994686118</v>
      </c>
      <c r="BQ222" s="8">
        <f t="shared" si="420"/>
        <v>1.3068569135427635</v>
      </c>
      <c r="BR222" s="8">
        <f t="shared" si="420"/>
        <v>2.77281438113206</v>
      </c>
      <c r="BS222" s="8">
        <f t="shared" si="420"/>
        <v>2.0214053902614895</v>
      </c>
      <c r="BT222" s="8">
        <f t="shared" si="420"/>
        <v>-0.3483280894868086</v>
      </c>
      <c r="BU222" s="8">
        <f t="shared" si="420"/>
        <v>1.848111290938375</v>
      </c>
      <c r="BV222" s="8">
        <f t="shared" si="420"/>
        <v>1.2028320813609348</v>
      </c>
      <c r="BW222" s="8">
        <f t="shared" si="420"/>
        <v>2.938653943979666</v>
      </c>
      <c r="BX222" s="8">
        <f t="shared" si="420"/>
        <v>0.46645270589031468</v>
      </c>
      <c r="BY222" s="8">
        <f t="shared" si="420"/>
        <v>1.9602833705188085</v>
      </c>
      <c r="BZ222" s="8">
        <f t="shared" si="420"/>
        <v>1.0389946373250327</v>
      </c>
      <c r="CA222" s="8">
        <f t="shared" si="420"/>
        <v>1.7182097806892505</v>
      </c>
      <c r="CB222" s="8">
        <f t="shared" si="420"/>
        <v>1.3473306287003273</v>
      </c>
      <c r="CC222" s="8">
        <f t="shared" si="420"/>
        <v>0.35370593408142492</v>
      </c>
      <c r="CD222" s="8">
        <f t="shared" si="420"/>
        <v>0.62245395568629913</v>
      </c>
      <c r="CE222" s="8">
        <f t="shared" si="420"/>
        <v>1.8806849425242431</v>
      </c>
      <c r="CF222" s="8">
        <f t="shared" si="420"/>
        <v>1.3440659683000513</v>
      </c>
      <c r="CG222" s="8">
        <f t="shared" si="420"/>
        <v>-0.45111092498287625</v>
      </c>
      <c r="CH222" s="8">
        <f t="shared" si="420"/>
        <v>0.48635992022179275</v>
      </c>
      <c r="CI222" s="8">
        <f t="shared" si="420"/>
        <v>1.2138083610604271</v>
      </c>
      <c r="CJ222" s="8">
        <f t="shared" si="420"/>
        <v>0.18566510023268054</v>
      </c>
      <c r="CK222" s="8">
        <f t="shared" si="420"/>
        <v>0.64940041823384731</v>
      </c>
      <c r="CL222" s="8">
        <f t="shared" si="420"/>
        <v>0.61557786604759746</v>
      </c>
      <c r="CM222" s="8">
        <f t="shared" si="420"/>
        <v>1.3831853845713304</v>
      </c>
      <c r="CN222" s="8">
        <f t="shared" si="420"/>
        <v>0.57831098896581701</v>
      </c>
      <c r="CO222" s="8">
        <f t="shared" si="420"/>
        <v>0.38467492260061914</v>
      </c>
      <c r="CP222" s="8">
        <f t="shared" si="420"/>
        <v>0.46354343493984795</v>
      </c>
      <c r="CQ222" s="8">
        <f t="shared" si="420"/>
        <v>1.412156916472576</v>
      </c>
      <c r="CR222" s="8">
        <f t="shared" si="420"/>
        <v>0.472043489318413</v>
      </c>
      <c r="CS222" s="8">
        <f t="shared" si="420"/>
        <v>0.25473766640563816</v>
      </c>
      <c r="CT222" s="8">
        <f t="shared" si="420"/>
        <v>0.40971750015454039</v>
      </c>
    </row>
  </sheetData>
  <pageMargins left="0.75" right="0.75" top="0.75" bottom="0.5" header="0.5" footer="0.7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Personer1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Keilman</dc:creator>
  <cp:lastModifiedBy>Nico Keilman</cp:lastModifiedBy>
  <dcterms:created xsi:type="dcterms:W3CDTF">2023-05-15T10:35:17Z</dcterms:created>
  <dcterms:modified xsi:type="dcterms:W3CDTF">2024-03-16T16:30:18Z</dcterms:modified>
</cp:coreProperties>
</file>